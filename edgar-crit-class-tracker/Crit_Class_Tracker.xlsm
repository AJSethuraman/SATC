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Override PartName="/xl/vbaProject.bin" ContentType="application/vnd.ms-office.vbaProject"/>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tabRatio="600" firstSheet="0" activeTab="0" autoFilterDateGrouping="1"/>
  </bookViews>
  <sheets>
    <sheet name="Dashboard_Criticized" sheetId="1" state="visible" r:id="rId1"/>
    <sheet name="Dashboard_Mix_Events" sheetId="2" state="visible" r:id="rId2"/>
    <sheet name="Watchlist" sheetId="3" state="visible" r:id="rId3"/>
    <sheet name="Raw_EDGAR" sheetId="4" state="visible" r:id="rId4"/>
    <sheet name="_config" sheetId="5" state="visible" r:id="rId5"/>
    <sheet name="_provenance" sheetId="6" state="visible" r:id="rId6"/>
    <sheet name="_code_py" sheetId="7" state="visible" r:id="rId7"/>
    <sheet name="_code_vba" sheetId="8" state="visible" r:id="rId8"/>
    <sheet name="_readme" sheetId="9" state="visible" r:id="rId9"/>
  </sheets>
  <definedNames/>
  <calcPr calcId="124519" fullCalcOnLoad="1"/>
</workbook>
</file>

<file path=xl/styles.xml><?xml version="1.0" encoding="utf-8"?>
<styleSheet xmlns="http://schemas.openxmlformats.org/spreadsheetml/2006/main">
  <numFmts count="0"/>
  <fonts count="13">
    <font>
      <name val="Calibri"/>
      <family val="2"/>
      <color theme="1"/>
      <sz val="11"/>
      <scheme val="minor"/>
    </font>
    <font>
      <name val="Calibri"/>
      <i val="1"/>
      <color rgb="0057534B"/>
      <sz val="9"/>
    </font>
    <font>
      <name val="Arial"/>
      <b val="1"/>
      <color rgb="000A0908"/>
    </font>
    <font>
      <name val="Calibri"/>
      <b val="1"/>
      <sz val="9"/>
    </font>
    <font>
      <name val="Arial"/>
      <b val="1"/>
      <color rgb="00FFFFFF"/>
      <sz val="11"/>
    </font>
    <font>
      <name val="Calibri"/>
      <color rgb="0016130F"/>
      <sz val="11"/>
    </font>
    <font>
      <name val="Consolas"/>
      <color rgb="0016130F"/>
      <sz val="9"/>
    </font>
    <font>
      <name val="Calibri"/>
      <color rgb="0057534B"/>
      <sz val="11"/>
    </font>
    <font>
      <name val="Arial"/>
      <b val="1"/>
      <color rgb="00FFFFFF"/>
      <sz val="16"/>
    </font>
    <font>
      <name val="Calibri"/>
      <color rgb="00B9B4AC"/>
      <sz val="11"/>
    </font>
    <font>
      <name val="Arial"/>
      <b val="1"/>
      <color rgb="0057534B"/>
      <sz val="9"/>
    </font>
    <font>
      <name val="Arial"/>
      <b val="1"/>
      <color rgb="000A0908"/>
      <sz val="20"/>
    </font>
    <font>
      <name val="Arial"/>
      <b val="1"/>
      <color rgb="00960019"/>
      <sz val="11"/>
    </font>
  </fonts>
  <fills count="6">
    <fill>
      <patternFill/>
    </fill>
    <fill>
      <patternFill patternType="gray125"/>
    </fill>
    <fill>
      <patternFill patternType="solid">
        <fgColor rgb="0016130F"/>
      </patternFill>
    </fill>
    <fill>
      <patternFill patternType="solid">
        <fgColor rgb="000A0908"/>
      </patternFill>
    </fill>
    <fill>
      <patternFill patternType="solid">
        <fgColor rgb="00F4F1EC"/>
      </patternFill>
    </fill>
    <fill>
      <patternFill patternType="solid">
        <fgColor rgb="00F7DEDE"/>
      </patternFill>
    </fill>
  </fills>
  <borders count="6">
    <border>
      <left/>
      <right/>
      <top/>
      <bottom/>
      <diagonal/>
    </border>
    <border>
      <bottom style="thin">
        <color rgb="00E7E2D8"/>
      </bottom>
    </border>
    <border>
      <bottom style="thin">
        <color rgb="0016130F"/>
      </bottom>
    </border>
    <border>
      <bottom style="medium">
        <color rgb="00CC0000"/>
      </bottom>
    </border>
    <border>
      <top style="medium">
        <color rgb="00CC0000"/>
      </top>
    </border>
    <border>
      <top style="medium">
        <color rgb="000A0908"/>
      </top>
    </border>
  </borders>
  <cellStyleXfs count="1">
    <xf numFmtId="0" fontId="0" fillId="0" borderId="0"/>
  </cellStyleXfs>
  <cellXfs count="30">
    <xf numFmtId="0" fontId="0" fillId="0" borderId="0" pivotButton="0" quotePrefix="0" xfId="0"/>
    <xf numFmtId="0" fontId="8" fillId="3" borderId="0" applyAlignment="1" pivotButton="0" quotePrefix="0" xfId="0">
      <alignment horizontal="left" vertical="center" indent="1"/>
    </xf>
    <xf numFmtId="0" fontId="7" fillId="0" borderId="0" applyAlignment="1" pivotButton="0" quotePrefix="0" xfId="0">
      <alignment horizontal="left" vertical="center"/>
    </xf>
    <xf numFmtId="0" fontId="9" fillId="3" borderId="3" applyAlignment="1" pivotButton="0" quotePrefix="0" xfId="0">
      <alignment horizontal="left" vertical="top" indent="1"/>
    </xf>
    <xf numFmtId="0" fontId="0" fillId="0" borderId="3" pivotButton="0" quotePrefix="0" xfId="0"/>
    <xf numFmtId="0" fontId="10" fillId="4" borderId="4" applyAlignment="1" pivotButton="0" quotePrefix="0" xfId="0">
      <alignment horizontal="left" vertical="center" indent="1"/>
    </xf>
    <xf numFmtId="0" fontId="0" fillId="0" borderId="4" pivotButton="0" quotePrefix="0" xfId="0"/>
    <xf numFmtId="0" fontId="10" fillId="4" borderId="5" applyAlignment="1" pivotButton="0" quotePrefix="0" xfId="0">
      <alignment horizontal="left" vertical="center" indent="1"/>
    </xf>
    <xf numFmtId="0" fontId="0" fillId="0" borderId="5" pivotButton="0" quotePrefix="0" xfId="0"/>
    <xf numFmtId="0" fontId="11" fillId="4" borderId="0" applyAlignment="1" pivotButton="0" quotePrefix="0" xfId="0">
      <alignment horizontal="left" vertical="center" indent="1"/>
    </xf>
    <xf numFmtId="0" fontId="1" fillId="0" borderId="0" applyAlignment="1" pivotButton="0" quotePrefix="0" xfId="0">
      <alignment horizontal="left" vertical="center"/>
    </xf>
    <xf numFmtId="0" fontId="7" fillId="4" borderId="0" applyAlignment="1" pivotButton="0" quotePrefix="0" xfId="0">
      <alignment horizontal="left" vertical="center" indent="1"/>
    </xf>
    <xf numFmtId="0" fontId="4" fillId="3" borderId="2" applyAlignment="1" pivotButton="0" quotePrefix="0" xfId="0">
      <alignment horizontal="left" vertical="center"/>
    </xf>
    <xf numFmtId="0" fontId="4" fillId="3" borderId="2" applyAlignment="1" pivotButton="0" quotePrefix="0" xfId="0">
      <alignment horizontal="right" vertical="center"/>
    </xf>
    <xf numFmtId="0" fontId="4" fillId="3" borderId="2" applyAlignment="1" pivotButton="0" quotePrefix="0" xfId="0">
      <alignment horizontal="center" vertical="center"/>
    </xf>
    <xf numFmtId="0" fontId="5" fillId="0" borderId="1" pivotButton="0" quotePrefix="0" xfId="0"/>
    <xf numFmtId="1" fontId="6" fillId="0" borderId="1" pivotButton="0" quotePrefix="0" xfId="0"/>
    <xf numFmtId="0" fontId="7" fillId="0" borderId="1" pivotButton="0" quotePrefix="0" xfId="0"/>
    <xf numFmtId="2" fontId="0" fillId="0" borderId="1" applyAlignment="1" pivotButton="0" quotePrefix="0" xfId="0">
      <alignment horizontal="right" vertical="center"/>
    </xf>
    <xf numFmtId="0" fontId="0" fillId="0" borderId="1" applyAlignment="1" pivotButton="0" quotePrefix="0" xfId="0">
      <alignment horizontal="center" vertical="center"/>
    </xf>
    <xf numFmtId="0" fontId="2" fillId="0" borderId="1" pivotButton="0" quotePrefix="0" xfId="0"/>
    <xf numFmtId="2" fontId="2" fillId="0" borderId="0" applyAlignment="1" pivotButton="0" quotePrefix="0" xfId="0">
      <alignment horizontal="right" vertical="center"/>
    </xf>
    <xf numFmtId="0" fontId="0" fillId="0" borderId="1" pivotButton="0" quotePrefix="0" xfId="0"/>
    <xf numFmtId="0" fontId="12" fillId="5" borderId="0" applyAlignment="1" pivotButton="0" quotePrefix="0" xfId="0">
      <alignment vertical="top" wrapText="1"/>
    </xf>
    <xf numFmtId="0" fontId="3" fillId="0" borderId="0" pivotButton="0" quotePrefix="0" xfId="0"/>
    <xf numFmtId="0" fontId="1" fillId="0" borderId="0" pivotButton="0" quotePrefix="0" xfId="0"/>
    <xf numFmtId="0" fontId="2" fillId="0" borderId="0" pivotButton="0" quotePrefix="0" xfId="0"/>
    <xf numFmtId="0" fontId="4" fillId="2" borderId="0" pivotButton="0" quotePrefix="0" xfId="0"/>
    <xf numFmtId="0" fontId="3" fillId="4" borderId="0" pivotButton="0" quotePrefix="0" xfId="0"/>
    <xf numFmtId="0" fontId="6" fillId="0" borderId="0" pivotButton="0" quotePrefix="0" xfId="0"/>
  </cellXfs>
  <cellStyles count="1">
    <cellStyle name="Normal" xfId="0" builtinId="0" hidden="0"/>
  </cellStyles>
  <dxfs count="2">
    <dxf>
      <font>
        <name val="Arial"/>
        <b val="1"/>
        <color rgb="00960019"/>
        <sz val="11"/>
      </font>
      <fill>
        <patternFill patternType="solid">
          <fgColor rgb="00F7DEDE"/>
        </patternFill>
      </fill>
    </dxf>
    <dxf>
      <font>
        <name val="Calibri"/>
        <b val="1"/>
        <color rgb="0057534B"/>
      </font>
      <fill>
        <patternFill patternType="solid">
          <fgColor rgb="00E4DFD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styles" Target="styles.xml" Id="rId10" /><Relationship Type="http://schemas.openxmlformats.org/officeDocument/2006/relationships/theme" Target="theme/theme1.xml" Id="rId11" /><Relationship Id="rIdVbaProject"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L28"/>
  <sheetViews>
    <sheetView showGridLines="0" workbookViewId="0">
      <pane ySplit="7" topLeftCell="A8" activePane="bottomLeft" state="frozen"/>
      <selection pane="bottomLeft" activeCell="A1" sqref="A1"/>
    </sheetView>
  </sheetViews>
  <sheetFormatPr baseColWidth="8" defaultRowHeight="15"/>
  <cols>
    <col width="26" customWidth="1" min="1" max="1"/>
    <col width="10" customWidth="1" min="2" max="2"/>
    <col width="8" customWidth="1" min="3" max="3"/>
    <col width="15" customWidth="1" min="4" max="4"/>
    <col width="12" customWidth="1" min="5" max="5"/>
    <col width="10" customWidth="1" min="6" max="6"/>
    <col width="10" customWidth="1" min="7" max="7"/>
    <col width="12" customWidth="1" min="8" max="8"/>
    <col width="10" customWidth="1" min="9" max="9"/>
    <col width="12" customWidth="1" min="10" max="10"/>
    <col width="14" customWidth="1" min="11" max="11"/>
    <col width="44" customWidth="1" min="12" max="12"/>
  </cols>
  <sheetData>
    <row r="1" ht="27.6" customHeight="1">
      <c r="A1" s="1" t="inlineStr">
        <is>
          <t>Criticized / Classified Dashboard -- Competitor Commercial Books</t>
        </is>
      </c>
      <c r="L1" s="2" t="n"/>
    </row>
    <row r="2" ht="18.4" customHeight="1">
      <c r="A2" s="3" t="inlineStr">
        <is>
          <t>Quarterly criticized/classified from each holding company's own filed 10-Q/10-K Credit Quality Indicators note (ASC 326-20-50-5). Tier 2 (SM/classified) is grades_full families only -- other families render N/A, never approximated (BUILD SPEC 0.6). Definitions uniform (2004 Interagency Agreement); application timing is bank judgment (E9). Q4 arrives via the 10-K, 60-90 days after year-end (E6).</t>
        </is>
      </c>
      <c r="B2" s="4" t="n"/>
      <c r="C2" s="4" t="n"/>
      <c r="D2" s="4" t="n"/>
      <c r="E2" s="4" t="n"/>
      <c r="F2" s="4" t="n"/>
      <c r="G2" s="4" t="n"/>
      <c r="H2" s="4" t="n"/>
      <c r="I2" s="4" t="n"/>
      <c r="J2" s="4" t="n"/>
      <c r="K2" s="4" t="n"/>
      <c r="L2" s="2" t="n"/>
    </row>
    <row r="3">
      <c r="A3" s="5" t="inlineStr">
        <is>
          <t>BANKS IN ALERT</t>
        </is>
      </c>
      <c r="B3" s="6" t="n"/>
      <c r="C3" s="6" t="n"/>
      <c r="D3" s="5" t="inlineStr">
        <is>
          <t>BANKS IN WATCH</t>
        </is>
      </c>
      <c r="E3" s="6" t="n"/>
      <c r="F3" s="6" t="n"/>
      <c r="G3" s="7" t="inlineStr">
        <is>
          <t>BANKS TRACKED</t>
        </is>
      </c>
      <c r="H3" s="8" t="n"/>
      <c r="I3" s="8" t="n"/>
      <c r="L3" s="2" t="n"/>
    </row>
    <row r="4" ht="26" customHeight="1">
      <c r="A4" s="9">
        <f>COUNTIF(Watchlist!$H$5:$H$24,"ALERT")</f>
        <v/>
      </c>
      <c r="D4" s="9">
        <f>COUNTIF(Watchlist!$H$5:$H$24,"WATCH")</f>
        <v/>
      </c>
      <c r="G4" s="9">
        <f>COUNTIF(Watchlist!$A$5:$A$24,"?*")</f>
        <v/>
      </c>
      <c r="L4" s="10" t="n"/>
    </row>
    <row r="5">
      <c r="A5" s="11" t="inlineStr">
        <is>
          <t>of 10 active</t>
        </is>
      </c>
      <c r="D5" s="11" t="inlineStr">
        <is>
          <t>incl. 8-K auto-watch</t>
        </is>
      </c>
      <c r="G5" s="11" t="inlineStr">
        <is>
          <t>of 20 built slots</t>
        </is>
      </c>
    </row>
    <row r="6" ht="8" customHeight="1"/>
    <row r="7" ht="22" customHeight="1">
      <c r="A7" s="12" t="inlineStr">
        <is>
          <t>Bank</t>
        </is>
      </c>
      <c r="B7" s="12" t="inlineStr">
        <is>
          <t>CIK</t>
        </is>
      </c>
      <c r="C7" s="12" t="inlineStr">
        <is>
          <t>Ticker</t>
        </is>
      </c>
      <c r="D7" s="12" t="inlineStr">
        <is>
          <t>Family</t>
        </is>
      </c>
      <c r="E7" s="13" t="inlineStr">
        <is>
          <t>Criticized %</t>
        </is>
      </c>
      <c r="F7" s="13" t="inlineStr">
        <is>
          <t>dQoQ pp</t>
        </is>
      </c>
      <c r="G7" s="13" t="inlineStr">
        <is>
          <t>dYoY pp</t>
        </is>
      </c>
      <c r="H7" s="13" t="inlineStr">
        <is>
          <t>Crit growth %</t>
        </is>
      </c>
      <c r="I7" s="13" t="inlineStr">
        <is>
          <t>SM %</t>
        </is>
      </c>
      <c r="J7" s="13" t="inlineStr">
        <is>
          <t>Classified %</t>
        </is>
      </c>
      <c r="K7" s="14" t="inlineStr">
        <is>
          <t>Status</t>
        </is>
      </c>
    </row>
    <row r="8">
      <c r="A8" s="15">
        <f>IF(_config!$C$24="","",_config!$C$24)</f>
        <v/>
      </c>
      <c r="B8" s="16">
        <f>IF(_config!$B$24="","",_config!$B$24)</f>
        <v/>
      </c>
      <c r="C8" s="17">
        <f>IF(_config!$D$24="","",_config!$D$24)</f>
        <v/>
      </c>
      <c r="D8" s="17">
        <f>IF(Raw_EDGAR!$D$2="","",Raw_EDGAR!$D$2)</f>
        <v/>
      </c>
      <c r="E8" s="18">
        <f>IF(Raw_EDGAR!$D$2="","",IF(OR(Raw_EDGAR!$D$2="ig_nig",Raw_EDGAR!$D$2="unmapped"),"N/A (family)",IF(Raw_EDGAR!B4="","",Raw_EDGAR!B4)))</f>
        <v/>
      </c>
      <c r="F8" s="18">
        <f>IF(Raw_EDGAR!E4="","",Raw_EDGAR!E4)</f>
        <v/>
      </c>
      <c r="G8" s="18">
        <f>IF(Raw_EDGAR!F4="","",Raw_EDGAR!F4)</f>
        <v/>
      </c>
      <c r="H8" s="18">
        <f>IF(Raw_EDGAR!G4="","",Raw_EDGAR!G4)</f>
        <v/>
      </c>
      <c r="I8" s="18">
        <f>IF(Raw_EDGAR!$D$2="","",IF(Raw_EDGAR!$D$2&lt;&gt;"grades_full","N/A (family)",IF(Raw_EDGAR!D4="","",Raw_EDGAR!D4)))</f>
        <v/>
      </c>
      <c r="J8" s="18">
        <f>IF(Raw_EDGAR!$D$2="","",IF(Raw_EDGAR!$D$2&lt;&gt;"grades_full","N/A (family)",IF(Raw_EDGAR!C4="","",Raw_EDGAR!C4)))</f>
        <v/>
      </c>
      <c r="K8" s="19">
        <f>IF(Watchlist!$H$5="","",Watchlist!$H$5)</f>
        <v/>
      </c>
    </row>
    <row r="9">
      <c r="A9" s="15">
        <f>IF(_config!$C$25="","",_config!$C$25)</f>
        <v/>
      </c>
      <c r="B9" s="16">
        <f>IF(_config!$B$25="","",_config!$B$25)</f>
        <v/>
      </c>
      <c r="C9" s="17">
        <f>IF(_config!$D$25="","",_config!$D$25)</f>
        <v/>
      </c>
      <c r="D9" s="17">
        <f>IF(Raw_EDGAR!$D$64="","",Raw_EDGAR!$D$64)</f>
        <v/>
      </c>
      <c r="E9" s="18">
        <f>IF(Raw_EDGAR!$D$64="","",IF(OR(Raw_EDGAR!$D$64="ig_nig",Raw_EDGAR!$D$64="unmapped"),"N/A (family)",IF(Raw_EDGAR!B66="","",Raw_EDGAR!B66)))</f>
        <v/>
      </c>
      <c r="F9" s="18">
        <f>IF(Raw_EDGAR!E66="","",Raw_EDGAR!E66)</f>
        <v/>
      </c>
      <c r="G9" s="18">
        <f>IF(Raw_EDGAR!F66="","",Raw_EDGAR!F66)</f>
        <v/>
      </c>
      <c r="H9" s="18">
        <f>IF(Raw_EDGAR!G66="","",Raw_EDGAR!G66)</f>
        <v/>
      </c>
      <c r="I9" s="18">
        <f>IF(Raw_EDGAR!$D$64="","",IF(Raw_EDGAR!$D$64&lt;&gt;"grades_full","N/A (family)",IF(Raw_EDGAR!D66="","",Raw_EDGAR!D66)))</f>
        <v/>
      </c>
      <c r="J9" s="18">
        <f>IF(Raw_EDGAR!$D$64="","",IF(Raw_EDGAR!$D$64&lt;&gt;"grades_full","N/A (family)",IF(Raw_EDGAR!C66="","",Raw_EDGAR!C66)))</f>
        <v/>
      </c>
      <c r="K9" s="19">
        <f>IF(Watchlist!$H$6="","",Watchlist!$H$6)</f>
        <v/>
      </c>
    </row>
    <row r="10">
      <c r="A10" s="15">
        <f>IF(_config!$C$26="","",_config!$C$26)</f>
        <v/>
      </c>
      <c r="B10" s="16">
        <f>IF(_config!$B$26="","",_config!$B$26)</f>
        <v/>
      </c>
      <c r="C10" s="17">
        <f>IF(_config!$D$26="","",_config!$D$26)</f>
        <v/>
      </c>
      <c r="D10" s="17">
        <f>IF(Raw_EDGAR!$D$126="","",Raw_EDGAR!$D$126)</f>
        <v/>
      </c>
      <c r="E10" s="18">
        <f>IF(Raw_EDGAR!$D$126="","",IF(OR(Raw_EDGAR!$D$126="ig_nig",Raw_EDGAR!$D$126="unmapped"),"N/A (family)",IF(Raw_EDGAR!B128="","",Raw_EDGAR!B128)))</f>
        <v/>
      </c>
      <c r="F10" s="18">
        <f>IF(Raw_EDGAR!E128="","",Raw_EDGAR!E128)</f>
        <v/>
      </c>
      <c r="G10" s="18">
        <f>IF(Raw_EDGAR!F128="","",Raw_EDGAR!F128)</f>
        <v/>
      </c>
      <c r="H10" s="18">
        <f>IF(Raw_EDGAR!G128="","",Raw_EDGAR!G128)</f>
        <v/>
      </c>
      <c r="I10" s="18">
        <f>IF(Raw_EDGAR!$D$126="","",IF(Raw_EDGAR!$D$126&lt;&gt;"grades_full","N/A (family)",IF(Raw_EDGAR!D128="","",Raw_EDGAR!D128)))</f>
        <v/>
      </c>
      <c r="J10" s="18">
        <f>IF(Raw_EDGAR!$D$126="","",IF(Raw_EDGAR!$D$126&lt;&gt;"grades_full","N/A (family)",IF(Raw_EDGAR!C128="","",Raw_EDGAR!C128)))</f>
        <v/>
      </c>
      <c r="K10" s="19">
        <f>IF(Watchlist!$H$7="","",Watchlist!$H$7)</f>
        <v/>
      </c>
    </row>
    <row r="11">
      <c r="A11" s="15">
        <f>IF(_config!$C$27="","",_config!$C$27)</f>
        <v/>
      </c>
      <c r="B11" s="16">
        <f>IF(_config!$B$27="","",_config!$B$27)</f>
        <v/>
      </c>
      <c r="C11" s="17">
        <f>IF(_config!$D$27="","",_config!$D$27)</f>
        <v/>
      </c>
      <c r="D11" s="17">
        <f>IF(Raw_EDGAR!$D$188="","",Raw_EDGAR!$D$188)</f>
        <v/>
      </c>
      <c r="E11" s="18">
        <f>IF(Raw_EDGAR!$D$188="","",IF(OR(Raw_EDGAR!$D$188="ig_nig",Raw_EDGAR!$D$188="unmapped"),"N/A (family)",IF(Raw_EDGAR!B190="","",Raw_EDGAR!B190)))</f>
        <v/>
      </c>
      <c r="F11" s="18">
        <f>IF(Raw_EDGAR!E190="","",Raw_EDGAR!E190)</f>
        <v/>
      </c>
      <c r="G11" s="18">
        <f>IF(Raw_EDGAR!F190="","",Raw_EDGAR!F190)</f>
        <v/>
      </c>
      <c r="H11" s="18">
        <f>IF(Raw_EDGAR!G190="","",Raw_EDGAR!G190)</f>
        <v/>
      </c>
      <c r="I11" s="18">
        <f>IF(Raw_EDGAR!$D$188="","",IF(Raw_EDGAR!$D$188&lt;&gt;"grades_full","N/A (family)",IF(Raw_EDGAR!D190="","",Raw_EDGAR!D190)))</f>
        <v/>
      </c>
      <c r="J11" s="18">
        <f>IF(Raw_EDGAR!$D$188="","",IF(Raw_EDGAR!$D$188&lt;&gt;"grades_full","N/A (family)",IF(Raw_EDGAR!C190="","",Raw_EDGAR!C190)))</f>
        <v/>
      </c>
      <c r="K11" s="19">
        <f>IF(Watchlist!$H$8="","",Watchlist!$H$8)</f>
        <v/>
      </c>
    </row>
    <row r="12">
      <c r="A12" s="15">
        <f>IF(_config!$C$28="","",_config!$C$28)</f>
        <v/>
      </c>
      <c r="B12" s="16">
        <f>IF(_config!$B$28="","",_config!$B$28)</f>
        <v/>
      </c>
      <c r="C12" s="17">
        <f>IF(_config!$D$28="","",_config!$D$28)</f>
        <v/>
      </c>
      <c r="D12" s="17">
        <f>IF(Raw_EDGAR!$D$250="","",Raw_EDGAR!$D$250)</f>
        <v/>
      </c>
      <c r="E12" s="18">
        <f>IF(Raw_EDGAR!$D$250="","",IF(OR(Raw_EDGAR!$D$250="ig_nig",Raw_EDGAR!$D$250="unmapped"),"N/A (family)",IF(Raw_EDGAR!B252="","",Raw_EDGAR!B252)))</f>
        <v/>
      </c>
      <c r="F12" s="18">
        <f>IF(Raw_EDGAR!E252="","",Raw_EDGAR!E252)</f>
        <v/>
      </c>
      <c r="G12" s="18">
        <f>IF(Raw_EDGAR!F252="","",Raw_EDGAR!F252)</f>
        <v/>
      </c>
      <c r="H12" s="18">
        <f>IF(Raw_EDGAR!G252="","",Raw_EDGAR!G252)</f>
        <v/>
      </c>
      <c r="I12" s="18">
        <f>IF(Raw_EDGAR!$D$250="","",IF(Raw_EDGAR!$D$250&lt;&gt;"grades_full","N/A (family)",IF(Raw_EDGAR!D252="","",Raw_EDGAR!D252)))</f>
        <v/>
      </c>
      <c r="J12" s="18">
        <f>IF(Raw_EDGAR!$D$250="","",IF(Raw_EDGAR!$D$250&lt;&gt;"grades_full","N/A (family)",IF(Raw_EDGAR!C252="","",Raw_EDGAR!C252)))</f>
        <v/>
      </c>
      <c r="K12" s="19">
        <f>IF(Watchlist!$H$9="","",Watchlist!$H$9)</f>
        <v/>
      </c>
    </row>
    <row r="13">
      <c r="A13" s="15">
        <f>IF(_config!$C$29="","",_config!$C$29)</f>
        <v/>
      </c>
      <c r="B13" s="16">
        <f>IF(_config!$B$29="","",_config!$B$29)</f>
        <v/>
      </c>
      <c r="C13" s="17">
        <f>IF(_config!$D$29="","",_config!$D$29)</f>
        <v/>
      </c>
      <c r="D13" s="17">
        <f>IF(Raw_EDGAR!$D$312="","",Raw_EDGAR!$D$312)</f>
        <v/>
      </c>
      <c r="E13" s="18">
        <f>IF(Raw_EDGAR!$D$312="","",IF(OR(Raw_EDGAR!$D$312="ig_nig",Raw_EDGAR!$D$312="unmapped"),"N/A (family)",IF(Raw_EDGAR!B314="","",Raw_EDGAR!B314)))</f>
        <v/>
      </c>
      <c r="F13" s="18">
        <f>IF(Raw_EDGAR!E314="","",Raw_EDGAR!E314)</f>
        <v/>
      </c>
      <c r="G13" s="18">
        <f>IF(Raw_EDGAR!F314="","",Raw_EDGAR!F314)</f>
        <v/>
      </c>
      <c r="H13" s="18">
        <f>IF(Raw_EDGAR!G314="","",Raw_EDGAR!G314)</f>
        <v/>
      </c>
      <c r="I13" s="18">
        <f>IF(Raw_EDGAR!$D$312="","",IF(Raw_EDGAR!$D$312&lt;&gt;"grades_full","N/A (family)",IF(Raw_EDGAR!D314="","",Raw_EDGAR!D314)))</f>
        <v/>
      </c>
      <c r="J13" s="18">
        <f>IF(Raw_EDGAR!$D$312="","",IF(Raw_EDGAR!$D$312&lt;&gt;"grades_full","N/A (family)",IF(Raw_EDGAR!C314="","",Raw_EDGAR!C314)))</f>
        <v/>
      </c>
      <c r="K13" s="19">
        <f>IF(Watchlist!$H$10="","",Watchlist!$H$10)</f>
        <v/>
      </c>
    </row>
    <row r="14">
      <c r="A14" s="15">
        <f>IF(_config!$C$30="","",_config!$C$30)</f>
        <v/>
      </c>
      <c r="B14" s="16">
        <f>IF(_config!$B$30="","",_config!$B$30)</f>
        <v/>
      </c>
      <c r="C14" s="17">
        <f>IF(_config!$D$30="","",_config!$D$30)</f>
        <v/>
      </c>
      <c r="D14" s="17">
        <f>IF(Raw_EDGAR!$D$374="","",Raw_EDGAR!$D$374)</f>
        <v/>
      </c>
      <c r="E14" s="18">
        <f>IF(Raw_EDGAR!$D$374="","",IF(OR(Raw_EDGAR!$D$374="ig_nig",Raw_EDGAR!$D$374="unmapped"),"N/A (family)",IF(Raw_EDGAR!B376="","",Raw_EDGAR!B376)))</f>
        <v/>
      </c>
      <c r="F14" s="18">
        <f>IF(Raw_EDGAR!E376="","",Raw_EDGAR!E376)</f>
        <v/>
      </c>
      <c r="G14" s="18">
        <f>IF(Raw_EDGAR!F376="","",Raw_EDGAR!F376)</f>
        <v/>
      </c>
      <c r="H14" s="18">
        <f>IF(Raw_EDGAR!G376="","",Raw_EDGAR!G376)</f>
        <v/>
      </c>
      <c r="I14" s="18">
        <f>IF(Raw_EDGAR!$D$374="","",IF(Raw_EDGAR!$D$374&lt;&gt;"grades_full","N/A (family)",IF(Raw_EDGAR!D376="","",Raw_EDGAR!D376)))</f>
        <v/>
      </c>
      <c r="J14" s="18">
        <f>IF(Raw_EDGAR!$D$374="","",IF(Raw_EDGAR!$D$374&lt;&gt;"grades_full","N/A (family)",IF(Raw_EDGAR!C376="","",Raw_EDGAR!C376)))</f>
        <v/>
      </c>
      <c r="K14" s="19">
        <f>IF(Watchlist!$H$11="","",Watchlist!$H$11)</f>
        <v/>
      </c>
    </row>
    <row r="15">
      <c r="A15" s="15">
        <f>IF(_config!$C$31="","",_config!$C$31)</f>
        <v/>
      </c>
      <c r="B15" s="16">
        <f>IF(_config!$B$31="","",_config!$B$31)</f>
        <v/>
      </c>
      <c r="C15" s="17">
        <f>IF(_config!$D$31="","",_config!$D$31)</f>
        <v/>
      </c>
      <c r="D15" s="17">
        <f>IF(Raw_EDGAR!$D$436="","",Raw_EDGAR!$D$436)</f>
        <v/>
      </c>
      <c r="E15" s="18">
        <f>IF(Raw_EDGAR!$D$436="","",IF(OR(Raw_EDGAR!$D$436="ig_nig",Raw_EDGAR!$D$436="unmapped"),"N/A (family)",IF(Raw_EDGAR!B438="","",Raw_EDGAR!B438)))</f>
        <v/>
      </c>
      <c r="F15" s="18">
        <f>IF(Raw_EDGAR!E438="","",Raw_EDGAR!E438)</f>
        <v/>
      </c>
      <c r="G15" s="18">
        <f>IF(Raw_EDGAR!F438="","",Raw_EDGAR!F438)</f>
        <v/>
      </c>
      <c r="H15" s="18">
        <f>IF(Raw_EDGAR!G438="","",Raw_EDGAR!G438)</f>
        <v/>
      </c>
      <c r="I15" s="18">
        <f>IF(Raw_EDGAR!$D$436="","",IF(Raw_EDGAR!$D$436&lt;&gt;"grades_full","N/A (family)",IF(Raw_EDGAR!D438="","",Raw_EDGAR!D438)))</f>
        <v/>
      </c>
      <c r="J15" s="18">
        <f>IF(Raw_EDGAR!$D$436="","",IF(Raw_EDGAR!$D$436&lt;&gt;"grades_full","N/A (family)",IF(Raw_EDGAR!C438="","",Raw_EDGAR!C438)))</f>
        <v/>
      </c>
      <c r="K15" s="19">
        <f>IF(Watchlist!$H$12="","",Watchlist!$H$12)</f>
        <v/>
      </c>
    </row>
    <row r="16">
      <c r="A16" s="15">
        <f>IF(_config!$C$32="","",_config!$C$32)</f>
        <v/>
      </c>
      <c r="B16" s="16">
        <f>IF(_config!$B$32="","",_config!$B$32)</f>
        <v/>
      </c>
      <c r="C16" s="17">
        <f>IF(_config!$D$32="","",_config!$D$32)</f>
        <v/>
      </c>
      <c r="D16" s="17">
        <f>IF(Raw_EDGAR!$D$498="","",Raw_EDGAR!$D$498)</f>
        <v/>
      </c>
      <c r="E16" s="18">
        <f>IF(Raw_EDGAR!$D$498="","",IF(OR(Raw_EDGAR!$D$498="ig_nig",Raw_EDGAR!$D$498="unmapped"),"N/A (family)",IF(Raw_EDGAR!B500="","",Raw_EDGAR!B500)))</f>
        <v/>
      </c>
      <c r="F16" s="18">
        <f>IF(Raw_EDGAR!E500="","",Raw_EDGAR!E500)</f>
        <v/>
      </c>
      <c r="G16" s="18">
        <f>IF(Raw_EDGAR!F500="","",Raw_EDGAR!F500)</f>
        <v/>
      </c>
      <c r="H16" s="18">
        <f>IF(Raw_EDGAR!G500="","",Raw_EDGAR!G500)</f>
        <v/>
      </c>
      <c r="I16" s="18">
        <f>IF(Raw_EDGAR!$D$498="","",IF(Raw_EDGAR!$D$498&lt;&gt;"grades_full","N/A (family)",IF(Raw_EDGAR!D500="","",Raw_EDGAR!D500)))</f>
        <v/>
      </c>
      <c r="J16" s="18">
        <f>IF(Raw_EDGAR!$D$498="","",IF(Raw_EDGAR!$D$498&lt;&gt;"grades_full","N/A (family)",IF(Raw_EDGAR!C500="","",Raw_EDGAR!C500)))</f>
        <v/>
      </c>
      <c r="K16" s="19">
        <f>IF(Watchlist!$H$13="","",Watchlist!$H$13)</f>
        <v/>
      </c>
    </row>
    <row r="17">
      <c r="A17" s="15">
        <f>IF(_config!$C$33="","",_config!$C$33)</f>
        <v/>
      </c>
      <c r="B17" s="16">
        <f>IF(_config!$B$33="","",_config!$B$33)</f>
        <v/>
      </c>
      <c r="C17" s="17">
        <f>IF(_config!$D$33="","",_config!$D$33)</f>
        <v/>
      </c>
      <c r="D17" s="17">
        <f>IF(Raw_EDGAR!$D$560="","",Raw_EDGAR!$D$560)</f>
        <v/>
      </c>
      <c r="E17" s="18">
        <f>IF(Raw_EDGAR!$D$560="","",IF(OR(Raw_EDGAR!$D$560="ig_nig",Raw_EDGAR!$D$560="unmapped"),"N/A (family)",IF(Raw_EDGAR!B562="","",Raw_EDGAR!B562)))</f>
        <v/>
      </c>
      <c r="F17" s="18">
        <f>IF(Raw_EDGAR!E562="","",Raw_EDGAR!E562)</f>
        <v/>
      </c>
      <c r="G17" s="18">
        <f>IF(Raw_EDGAR!F562="","",Raw_EDGAR!F562)</f>
        <v/>
      </c>
      <c r="H17" s="18">
        <f>IF(Raw_EDGAR!G562="","",Raw_EDGAR!G562)</f>
        <v/>
      </c>
      <c r="I17" s="18">
        <f>IF(Raw_EDGAR!$D$560="","",IF(Raw_EDGAR!$D$560&lt;&gt;"grades_full","N/A (family)",IF(Raw_EDGAR!D562="","",Raw_EDGAR!D562)))</f>
        <v/>
      </c>
      <c r="J17" s="18">
        <f>IF(Raw_EDGAR!$D$560="","",IF(Raw_EDGAR!$D$560&lt;&gt;"grades_full","N/A (family)",IF(Raw_EDGAR!C562="","",Raw_EDGAR!C562)))</f>
        <v/>
      </c>
      <c r="K17" s="19">
        <f>IF(Watchlist!$H$14="","",Watchlist!$H$14)</f>
        <v/>
      </c>
    </row>
    <row r="18">
      <c r="A18" s="15">
        <f>IF(_config!$C$34="","",_config!$C$34)</f>
        <v/>
      </c>
      <c r="B18" s="16">
        <f>IF(_config!$B$34="","",_config!$B$34)</f>
        <v/>
      </c>
      <c r="C18" s="17">
        <f>IF(_config!$D$34="","",_config!$D$34)</f>
        <v/>
      </c>
      <c r="D18" s="17">
        <f>IF(Raw_EDGAR!$D$622="","",Raw_EDGAR!$D$622)</f>
        <v/>
      </c>
      <c r="E18" s="18">
        <f>IF(Raw_EDGAR!$D$622="","",IF(OR(Raw_EDGAR!$D$622="ig_nig",Raw_EDGAR!$D$622="unmapped"),"N/A (family)",IF(Raw_EDGAR!B624="","",Raw_EDGAR!B624)))</f>
        <v/>
      </c>
      <c r="F18" s="18">
        <f>IF(Raw_EDGAR!E624="","",Raw_EDGAR!E624)</f>
        <v/>
      </c>
      <c r="G18" s="18">
        <f>IF(Raw_EDGAR!F624="","",Raw_EDGAR!F624)</f>
        <v/>
      </c>
      <c r="H18" s="18">
        <f>IF(Raw_EDGAR!G624="","",Raw_EDGAR!G624)</f>
        <v/>
      </c>
      <c r="I18" s="18">
        <f>IF(Raw_EDGAR!$D$622="","",IF(Raw_EDGAR!$D$622&lt;&gt;"grades_full","N/A (family)",IF(Raw_EDGAR!D624="","",Raw_EDGAR!D624)))</f>
        <v/>
      </c>
      <c r="J18" s="18">
        <f>IF(Raw_EDGAR!$D$622="","",IF(Raw_EDGAR!$D$622&lt;&gt;"grades_full","N/A (family)",IF(Raw_EDGAR!C624="","",Raw_EDGAR!C624)))</f>
        <v/>
      </c>
      <c r="K18" s="19">
        <f>IF(Watchlist!$H$15="","",Watchlist!$H$15)</f>
        <v/>
      </c>
    </row>
    <row r="19">
      <c r="A19" s="15">
        <f>IF(_config!$C$35="","",_config!$C$35)</f>
        <v/>
      </c>
      <c r="B19" s="16">
        <f>IF(_config!$B$35="","",_config!$B$35)</f>
        <v/>
      </c>
      <c r="C19" s="17">
        <f>IF(_config!$D$35="","",_config!$D$35)</f>
        <v/>
      </c>
      <c r="D19" s="17">
        <f>IF(Raw_EDGAR!$D$684="","",Raw_EDGAR!$D$684)</f>
        <v/>
      </c>
      <c r="E19" s="18">
        <f>IF(Raw_EDGAR!$D$684="","",IF(OR(Raw_EDGAR!$D$684="ig_nig",Raw_EDGAR!$D$684="unmapped"),"N/A (family)",IF(Raw_EDGAR!B686="","",Raw_EDGAR!B686)))</f>
        <v/>
      </c>
      <c r="F19" s="18">
        <f>IF(Raw_EDGAR!E686="","",Raw_EDGAR!E686)</f>
        <v/>
      </c>
      <c r="G19" s="18">
        <f>IF(Raw_EDGAR!F686="","",Raw_EDGAR!F686)</f>
        <v/>
      </c>
      <c r="H19" s="18">
        <f>IF(Raw_EDGAR!G686="","",Raw_EDGAR!G686)</f>
        <v/>
      </c>
      <c r="I19" s="18">
        <f>IF(Raw_EDGAR!$D$684="","",IF(Raw_EDGAR!$D$684&lt;&gt;"grades_full","N/A (family)",IF(Raw_EDGAR!D686="","",Raw_EDGAR!D686)))</f>
        <v/>
      </c>
      <c r="J19" s="18">
        <f>IF(Raw_EDGAR!$D$684="","",IF(Raw_EDGAR!$D$684&lt;&gt;"grades_full","N/A (family)",IF(Raw_EDGAR!C686="","",Raw_EDGAR!C686)))</f>
        <v/>
      </c>
      <c r="K19" s="19">
        <f>IF(Watchlist!$H$16="","",Watchlist!$H$16)</f>
        <v/>
      </c>
    </row>
    <row r="20">
      <c r="A20" s="15">
        <f>IF(_config!$C$36="","",_config!$C$36)</f>
        <v/>
      </c>
      <c r="B20" s="16">
        <f>IF(_config!$B$36="","",_config!$B$36)</f>
        <v/>
      </c>
      <c r="C20" s="17">
        <f>IF(_config!$D$36="","",_config!$D$36)</f>
        <v/>
      </c>
      <c r="D20" s="17">
        <f>IF(Raw_EDGAR!$D$746="","",Raw_EDGAR!$D$746)</f>
        <v/>
      </c>
      <c r="E20" s="18">
        <f>IF(Raw_EDGAR!$D$746="","",IF(OR(Raw_EDGAR!$D$746="ig_nig",Raw_EDGAR!$D$746="unmapped"),"N/A (family)",IF(Raw_EDGAR!B748="","",Raw_EDGAR!B748)))</f>
        <v/>
      </c>
      <c r="F20" s="18">
        <f>IF(Raw_EDGAR!E748="","",Raw_EDGAR!E748)</f>
        <v/>
      </c>
      <c r="G20" s="18">
        <f>IF(Raw_EDGAR!F748="","",Raw_EDGAR!F748)</f>
        <v/>
      </c>
      <c r="H20" s="18">
        <f>IF(Raw_EDGAR!G748="","",Raw_EDGAR!G748)</f>
        <v/>
      </c>
      <c r="I20" s="18">
        <f>IF(Raw_EDGAR!$D$746="","",IF(Raw_EDGAR!$D$746&lt;&gt;"grades_full","N/A (family)",IF(Raw_EDGAR!D748="","",Raw_EDGAR!D748)))</f>
        <v/>
      </c>
      <c r="J20" s="18">
        <f>IF(Raw_EDGAR!$D$746="","",IF(Raw_EDGAR!$D$746&lt;&gt;"grades_full","N/A (family)",IF(Raw_EDGAR!C748="","",Raw_EDGAR!C748)))</f>
        <v/>
      </c>
      <c r="K20" s="19">
        <f>IF(Watchlist!$H$17="","",Watchlist!$H$17)</f>
        <v/>
      </c>
    </row>
    <row r="21">
      <c r="A21" s="15">
        <f>IF(_config!$C$37="","",_config!$C$37)</f>
        <v/>
      </c>
      <c r="B21" s="16">
        <f>IF(_config!$B$37="","",_config!$B$37)</f>
        <v/>
      </c>
      <c r="C21" s="17">
        <f>IF(_config!$D$37="","",_config!$D$37)</f>
        <v/>
      </c>
      <c r="D21" s="17">
        <f>IF(Raw_EDGAR!$D$808="","",Raw_EDGAR!$D$808)</f>
        <v/>
      </c>
      <c r="E21" s="18">
        <f>IF(Raw_EDGAR!$D$808="","",IF(OR(Raw_EDGAR!$D$808="ig_nig",Raw_EDGAR!$D$808="unmapped"),"N/A (family)",IF(Raw_EDGAR!B810="","",Raw_EDGAR!B810)))</f>
        <v/>
      </c>
      <c r="F21" s="18">
        <f>IF(Raw_EDGAR!E810="","",Raw_EDGAR!E810)</f>
        <v/>
      </c>
      <c r="G21" s="18">
        <f>IF(Raw_EDGAR!F810="","",Raw_EDGAR!F810)</f>
        <v/>
      </c>
      <c r="H21" s="18">
        <f>IF(Raw_EDGAR!G810="","",Raw_EDGAR!G810)</f>
        <v/>
      </c>
      <c r="I21" s="18">
        <f>IF(Raw_EDGAR!$D$808="","",IF(Raw_EDGAR!$D$808&lt;&gt;"grades_full","N/A (family)",IF(Raw_EDGAR!D810="","",Raw_EDGAR!D810)))</f>
        <v/>
      </c>
      <c r="J21" s="18">
        <f>IF(Raw_EDGAR!$D$808="","",IF(Raw_EDGAR!$D$808&lt;&gt;"grades_full","N/A (family)",IF(Raw_EDGAR!C810="","",Raw_EDGAR!C810)))</f>
        <v/>
      </c>
      <c r="K21" s="19">
        <f>IF(Watchlist!$H$18="","",Watchlist!$H$18)</f>
        <v/>
      </c>
    </row>
    <row r="22">
      <c r="A22" s="15">
        <f>IF(_config!$C$38="","",_config!$C$38)</f>
        <v/>
      </c>
      <c r="B22" s="16">
        <f>IF(_config!$B$38="","",_config!$B$38)</f>
        <v/>
      </c>
      <c r="C22" s="17">
        <f>IF(_config!$D$38="","",_config!$D$38)</f>
        <v/>
      </c>
      <c r="D22" s="17">
        <f>IF(Raw_EDGAR!$D$870="","",Raw_EDGAR!$D$870)</f>
        <v/>
      </c>
      <c r="E22" s="18">
        <f>IF(Raw_EDGAR!$D$870="","",IF(OR(Raw_EDGAR!$D$870="ig_nig",Raw_EDGAR!$D$870="unmapped"),"N/A (family)",IF(Raw_EDGAR!B872="","",Raw_EDGAR!B872)))</f>
        <v/>
      </c>
      <c r="F22" s="18">
        <f>IF(Raw_EDGAR!E872="","",Raw_EDGAR!E872)</f>
        <v/>
      </c>
      <c r="G22" s="18">
        <f>IF(Raw_EDGAR!F872="","",Raw_EDGAR!F872)</f>
        <v/>
      </c>
      <c r="H22" s="18">
        <f>IF(Raw_EDGAR!G872="","",Raw_EDGAR!G872)</f>
        <v/>
      </c>
      <c r="I22" s="18">
        <f>IF(Raw_EDGAR!$D$870="","",IF(Raw_EDGAR!$D$870&lt;&gt;"grades_full","N/A (family)",IF(Raw_EDGAR!D872="","",Raw_EDGAR!D872)))</f>
        <v/>
      </c>
      <c r="J22" s="18">
        <f>IF(Raw_EDGAR!$D$870="","",IF(Raw_EDGAR!$D$870&lt;&gt;"grades_full","N/A (family)",IF(Raw_EDGAR!C872="","",Raw_EDGAR!C872)))</f>
        <v/>
      </c>
      <c r="K22" s="19">
        <f>IF(Watchlist!$H$19="","",Watchlist!$H$19)</f>
        <v/>
      </c>
    </row>
    <row r="23">
      <c r="A23" s="15">
        <f>IF(_config!$C$39="","",_config!$C$39)</f>
        <v/>
      </c>
      <c r="B23" s="16">
        <f>IF(_config!$B$39="","",_config!$B$39)</f>
        <v/>
      </c>
      <c r="C23" s="17">
        <f>IF(_config!$D$39="","",_config!$D$39)</f>
        <v/>
      </c>
      <c r="D23" s="17">
        <f>IF(Raw_EDGAR!$D$932="","",Raw_EDGAR!$D$932)</f>
        <v/>
      </c>
      <c r="E23" s="18">
        <f>IF(Raw_EDGAR!$D$932="","",IF(OR(Raw_EDGAR!$D$932="ig_nig",Raw_EDGAR!$D$932="unmapped"),"N/A (family)",IF(Raw_EDGAR!B934="","",Raw_EDGAR!B934)))</f>
        <v/>
      </c>
      <c r="F23" s="18">
        <f>IF(Raw_EDGAR!E934="","",Raw_EDGAR!E934)</f>
        <v/>
      </c>
      <c r="G23" s="18">
        <f>IF(Raw_EDGAR!F934="","",Raw_EDGAR!F934)</f>
        <v/>
      </c>
      <c r="H23" s="18">
        <f>IF(Raw_EDGAR!G934="","",Raw_EDGAR!G934)</f>
        <v/>
      </c>
      <c r="I23" s="18">
        <f>IF(Raw_EDGAR!$D$932="","",IF(Raw_EDGAR!$D$932&lt;&gt;"grades_full","N/A (family)",IF(Raw_EDGAR!D934="","",Raw_EDGAR!D934)))</f>
        <v/>
      </c>
      <c r="J23" s="18">
        <f>IF(Raw_EDGAR!$D$932="","",IF(Raw_EDGAR!$D$932&lt;&gt;"grades_full","N/A (family)",IF(Raw_EDGAR!C934="","",Raw_EDGAR!C934)))</f>
        <v/>
      </c>
      <c r="K23" s="19">
        <f>IF(Watchlist!$H$20="","",Watchlist!$H$20)</f>
        <v/>
      </c>
    </row>
    <row r="24">
      <c r="A24" s="15">
        <f>IF(_config!$C$40="","",_config!$C$40)</f>
        <v/>
      </c>
      <c r="B24" s="16">
        <f>IF(_config!$B$40="","",_config!$B$40)</f>
        <v/>
      </c>
      <c r="C24" s="17">
        <f>IF(_config!$D$40="","",_config!$D$40)</f>
        <v/>
      </c>
      <c r="D24" s="17">
        <f>IF(Raw_EDGAR!$D$994="","",Raw_EDGAR!$D$994)</f>
        <v/>
      </c>
      <c r="E24" s="18">
        <f>IF(Raw_EDGAR!$D$994="","",IF(OR(Raw_EDGAR!$D$994="ig_nig",Raw_EDGAR!$D$994="unmapped"),"N/A (family)",IF(Raw_EDGAR!B996="","",Raw_EDGAR!B996)))</f>
        <v/>
      </c>
      <c r="F24" s="18">
        <f>IF(Raw_EDGAR!E996="","",Raw_EDGAR!E996)</f>
        <v/>
      </c>
      <c r="G24" s="18">
        <f>IF(Raw_EDGAR!F996="","",Raw_EDGAR!F996)</f>
        <v/>
      </c>
      <c r="H24" s="18">
        <f>IF(Raw_EDGAR!G996="","",Raw_EDGAR!G996)</f>
        <v/>
      </c>
      <c r="I24" s="18">
        <f>IF(Raw_EDGAR!$D$994="","",IF(Raw_EDGAR!$D$994&lt;&gt;"grades_full","N/A (family)",IF(Raw_EDGAR!D996="","",Raw_EDGAR!D996)))</f>
        <v/>
      </c>
      <c r="J24" s="18">
        <f>IF(Raw_EDGAR!$D$994="","",IF(Raw_EDGAR!$D$994&lt;&gt;"grades_full","N/A (family)",IF(Raw_EDGAR!C996="","",Raw_EDGAR!C996)))</f>
        <v/>
      </c>
      <c r="K24" s="19">
        <f>IF(Watchlist!$H$21="","",Watchlist!$H$21)</f>
        <v/>
      </c>
    </row>
    <row r="25">
      <c r="A25" s="15">
        <f>IF(_config!$C$41="","",_config!$C$41)</f>
        <v/>
      </c>
      <c r="B25" s="16">
        <f>IF(_config!$B$41="","",_config!$B$41)</f>
        <v/>
      </c>
      <c r="C25" s="17">
        <f>IF(_config!$D$41="","",_config!$D$41)</f>
        <v/>
      </c>
      <c r="D25" s="17">
        <f>IF(Raw_EDGAR!$D$1056="","",Raw_EDGAR!$D$1056)</f>
        <v/>
      </c>
      <c r="E25" s="18">
        <f>IF(Raw_EDGAR!$D$1056="","",IF(OR(Raw_EDGAR!$D$1056="ig_nig",Raw_EDGAR!$D$1056="unmapped"),"N/A (family)",IF(Raw_EDGAR!B1058="","",Raw_EDGAR!B1058)))</f>
        <v/>
      </c>
      <c r="F25" s="18">
        <f>IF(Raw_EDGAR!E1058="","",Raw_EDGAR!E1058)</f>
        <v/>
      </c>
      <c r="G25" s="18">
        <f>IF(Raw_EDGAR!F1058="","",Raw_EDGAR!F1058)</f>
        <v/>
      </c>
      <c r="H25" s="18">
        <f>IF(Raw_EDGAR!G1058="","",Raw_EDGAR!G1058)</f>
        <v/>
      </c>
      <c r="I25" s="18">
        <f>IF(Raw_EDGAR!$D$1056="","",IF(Raw_EDGAR!$D$1056&lt;&gt;"grades_full","N/A (family)",IF(Raw_EDGAR!D1058="","",Raw_EDGAR!D1058)))</f>
        <v/>
      </c>
      <c r="J25" s="18">
        <f>IF(Raw_EDGAR!$D$1056="","",IF(Raw_EDGAR!$D$1056&lt;&gt;"grades_full","N/A (family)",IF(Raw_EDGAR!C1058="","",Raw_EDGAR!C1058)))</f>
        <v/>
      </c>
      <c r="K25" s="19">
        <f>IF(Watchlist!$H$22="","",Watchlist!$H$22)</f>
        <v/>
      </c>
    </row>
    <row r="26">
      <c r="A26" s="15">
        <f>IF(_config!$C$42="","",_config!$C$42)</f>
        <v/>
      </c>
      <c r="B26" s="16">
        <f>IF(_config!$B$42="","",_config!$B$42)</f>
        <v/>
      </c>
      <c r="C26" s="17">
        <f>IF(_config!$D$42="","",_config!$D$42)</f>
        <v/>
      </c>
      <c r="D26" s="17">
        <f>IF(Raw_EDGAR!$D$1118="","",Raw_EDGAR!$D$1118)</f>
        <v/>
      </c>
      <c r="E26" s="18">
        <f>IF(Raw_EDGAR!$D$1118="","",IF(OR(Raw_EDGAR!$D$1118="ig_nig",Raw_EDGAR!$D$1118="unmapped"),"N/A (family)",IF(Raw_EDGAR!B1120="","",Raw_EDGAR!B1120)))</f>
        <v/>
      </c>
      <c r="F26" s="18">
        <f>IF(Raw_EDGAR!E1120="","",Raw_EDGAR!E1120)</f>
        <v/>
      </c>
      <c r="G26" s="18">
        <f>IF(Raw_EDGAR!F1120="","",Raw_EDGAR!F1120)</f>
        <v/>
      </c>
      <c r="H26" s="18">
        <f>IF(Raw_EDGAR!G1120="","",Raw_EDGAR!G1120)</f>
        <v/>
      </c>
      <c r="I26" s="18">
        <f>IF(Raw_EDGAR!$D$1118="","",IF(Raw_EDGAR!$D$1118&lt;&gt;"grades_full","N/A (family)",IF(Raw_EDGAR!D1120="","",Raw_EDGAR!D1120)))</f>
        <v/>
      </c>
      <c r="J26" s="18">
        <f>IF(Raw_EDGAR!$D$1118="","",IF(Raw_EDGAR!$D$1118&lt;&gt;"grades_full","N/A (family)",IF(Raw_EDGAR!C1120="","",Raw_EDGAR!C1120)))</f>
        <v/>
      </c>
      <c r="K26" s="19">
        <f>IF(Watchlist!$H$23="","",Watchlist!$H$23)</f>
        <v/>
      </c>
    </row>
    <row r="27">
      <c r="A27" s="15">
        <f>IF(_config!$C$43="","",_config!$C$43)</f>
        <v/>
      </c>
      <c r="B27" s="16">
        <f>IF(_config!$B$43="","",_config!$B$43)</f>
        <v/>
      </c>
      <c r="C27" s="17">
        <f>IF(_config!$D$43="","",_config!$D$43)</f>
        <v/>
      </c>
      <c r="D27" s="17">
        <f>IF(Raw_EDGAR!$D$1180="","",Raw_EDGAR!$D$1180)</f>
        <v/>
      </c>
      <c r="E27" s="18">
        <f>IF(Raw_EDGAR!$D$1180="","",IF(OR(Raw_EDGAR!$D$1180="ig_nig",Raw_EDGAR!$D$1180="unmapped"),"N/A (family)",IF(Raw_EDGAR!B1182="","",Raw_EDGAR!B1182)))</f>
        <v/>
      </c>
      <c r="F27" s="18">
        <f>IF(Raw_EDGAR!E1182="","",Raw_EDGAR!E1182)</f>
        <v/>
      </c>
      <c r="G27" s="18">
        <f>IF(Raw_EDGAR!F1182="","",Raw_EDGAR!F1182)</f>
        <v/>
      </c>
      <c r="H27" s="18">
        <f>IF(Raw_EDGAR!G1182="","",Raw_EDGAR!G1182)</f>
        <v/>
      </c>
      <c r="I27" s="18">
        <f>IF(Raw_EDGAR!$D$1180="","",IF(Raw_EDGAR!$D$1180&lt;&gt;"grades_full","N/A (family)",IF(Raw_EDGAR!D1182="","",Raw_EDGAR!D1182)))</f>
        <v/>
      </c>
      <c r="J27" s="18">
        <f>IF(Raw_EDGAR!$D$1180="","",IF(Raw_EDGAR!$D$1180&lt;&gt;"grades_full","N/A (family)",IF(Raw_EDGAR!C1182="","",Raw_EDGAR!C1182)))</f>
        <v/>
      </c>
      <c r="K27" s="19">
        <f>IF(Watchlist!$H$24="","",Watchlist!$H$24)</f>
        <v/>
      </c>
    </row>
    <row r="28">
      <c r="A28" s="20" t="inlineStr">
        <is>
          <t>PEER MEDIAN (criticized-capable families; includes stale -- see _readme)</t>
        </is>
      </c>
      <c r="E28" s="21">
        <f>IF(COUNT(E8:E27)=0,"",MEDIAN(E8:E27))</f>
        <v/>
      </c>
      <c r="F28" s="21">
        <f>IF(COUNT(F8:F27)=0,"",MEDIAN(F8:F27))</f>
        <v/>
      </c>
      <c r="G28" s="21">
        <f>IF(COUNT(G8:G27)=0,"",MEDIAN(G8:G27))</f>
        <v/>
      </c>
      <c r="H28" s="21">
        <f>IF(COUNT(H8:H27)=0,"",MEDIAN(H8:H27))</f>
        <v/>
      </c>
      <c r="I28" s="21">
        <f>IF(COUNT(I8:I27)=0,"",MEDIAN(I8:I27))</f>
        <v/>
      </c>
      <c r="J28" s="21">
        <f>IF(COUNT(J8:J27)=0,"",MEDIAN(J8:J27))</f>
        <v/>
      </c>
    </row>
  </sheetData>
  <mergeCells count="11">
    <mergeCell ref="D5:F5"/>
    <mergeCell ref="A5:C5"/>
    <mergeCell ref="G5:I5"/>
    <mergeCell ref="D4:F4"/>
    <mergeCell ref="A2:K2"/>
    <mergeCell ref="D3:F3"/>
    <mergeCell ref="A3:C3"/>
    <mergeCell ref="G3:I3"/>
    <mergeCell ref="G4:I4"/>
    <mergeCell ref="A4:C4"/>
    <mergeCell ref="A1:K1"/>
  </mergeCells>
  <conditionalFormatting sqref="E8:E27">
    <cfRule type="expression" priority="1" dxfId="0" stopIfTrue="1">
      <formula>AND(ISNUMBER(E8),E8&gt;=_config!$C$17)</formula>
    </cfRule>
    <cfRule type="expression" priority="2" dxfId="1" stopIfTrue="1">
      <formula>AND(ISNUMBER(E8),E8&gt;=_config!$B$17)</formula>
    </cfRule>
    <cfRule type="colorScale" priority="3">
      <colorScale>
        <cfvo type="min"/>
        <cfvo type="percentile" val="50"/>
        <cfvo type="max"/>
        <color rgb="00BBD3BD"/>
        <color rgb="00F4F1EC"/>
        <color rgb="00E0A6A6"/>
      </colorScale>
    </cfRule>
  </conditionalFormatting>
  <conditionalFormatting sqref="F8:F27">
    <cfRule type="expression" priority="4" dxfId="0" stopIfTrue="1">
      <formula>AND(ISNUMBER(F8),F8&gt;=_config!$C$18)</formula>
    </cfRule>
    <cfRule type="expression" priority="5" dxfId="1" stopIfTrue="1">
      <formula>AND(ISNUMBER(F8),F8&gt;=_config!$B$18)</formula>
    </cfRule>
    <cfRule type="colorScale" priority="6">
      <colorScale>
        <cfvo type="min"/>
        <cfvo type="percentile" val="50"/>
        <cfvo type="max"/>
        <color rgb="00BBD3BD"/>
        <color rgb="00F4F1EC"/>
        <color rgb="00E0A6A6"/>
      </colorScale>
    </cfRule>
  </conditionalFormatting>
  <conditionalFormatting sqref="I8:I27">
    <cfRule type="expression" priority="7" dxfId="0" stopIfTrue="1">
      <formula>AND(ISNUMBER(I8),I8&gt;=_config!$C$19)</formula>
    </cfRule>
    <cfRule type="expression" priority="8" dxfId="1" stopIfTrue="1">
      <formula>AND(ISNUMBER(I8),I8&gt;=_config!$B$19)</formula>
    </cfRule>
    <cfRule type="colorScale" priority="9">
      <colorScale>
        <cfvo type="min"/>
        <cfvo type="percentile" val="50"/>
        <cfvo type="max"/>
        <color rgb="00BBD3BD"/>
        <color rgb="00F4F1EC"/>
        <color rgb="00E0A6A6"/>
      </colorScale>
    </cfRule>
  </conditionalFormatting>
  <conditionalFormatting sqref="G8:G27">
    <cfRule type="colorScale" priority="10">
      <colorScale>
        <cfvo type="min"/>
        <cfvo type="percentile" val="50"/>
        <cfvo type="max"/>
        <color rgb="00BBD3BD"/>
        <color rgb="00F4F1EC"/>
        <color rgb="00E0A6A6"/>
      </colorScale>
    </cfRule>
  </conditionalFormatting>
  <conditionalFormatting sqref="H8:H27">
    <cfRule type="colorScale" priority="11">
      <colorScale>
        <cfvo type="min"/>
        <cfvo type="percentile" val="50"/>
        <cfvo type="max"/>
        <color rgb="00BBD3BD"/>
        <color rgb="00F4F1EC"/>
        <color rgb="00E0A6A6"/>
      </colorScale>
    </cfRule>
  </conditionalFormatting>
  <conditionalFormatting sqref="J8:J27">
    <cfRule type="colorScale" priority="12">
      <colorScale>
        <cfvo type="min"/>
        <cfvo type="percentile" val="50"/>
        <cfvo type="max"/>
        <color rgb="00BBD3BD"/>
        <color rgb="00F4F1EC"/>
        <color rgb="00E0A6A6"/>
      </colorScale>
    </cfRule>
  </conditionalFormatting>
  <conditionalFormatting sqref="K8:K27">
    <cfRule type="expression" priority="13" dxfId="0">
      <formula>ISNUMBER(SEARCH("ALERT",K8))</formula>
    </cfRule>
  </conditionalFormatting>
  <pageMargins left="0.75" right="0.75" top="1" bottom="1" header="0.5" footer="0.5"/>
</worksheet>
</file>

<file path=xl/worksheets/sheet2.xml><?xml version="1.0" encoding="utf-8"?>
<worksheet xmlns="http://schemas.openxmlformats.org/spreadsheetml/2006/main">
  <sheetPr>
    <outlinePr summaryBelow="1" summaryRight="1"/>
    <pageSetUpPr/>
  </sheetPr>
  <dimension ref="A1:P27"/>
  <sheetViews>
    <sheetView showGridLines="0" workbookViewId="0">
      <pane ySplit="7" topLeftCell="A8" activePane="bottomLeft" state="frozen"/>
      <selection pane="bottomLeft" activeCell="A1" sqref="A1"/>
    </sheetView>
  </sheetViews>
  <sheetFormatPr baseColWidth="8" defaultRowHeight="15"/>
  <cols>
    <col width="26" customWidth="1" min="1" max="1"/>
    <col width="10" customWidth="1" min="2" max="2"/>
    <col width="15" customWidth="1" min="3" max="3"/>
    <col width="13" customWidth="1" min="4" max="4"/>
    <col width="10" customWidth="1" min="5" max="5"/>
    <col width="10" customWidth="1" min="6" max="6"/>
    <col width="11" customWidth="1" min="7" max="7"/>
    <col width="11" customWidth="1" min="8" max="8"/>
    <col width="9" customWidth="1" min="9" max="9"/>
    <col width="9" customWidth="1" min="10" max="10"/>
    <col width="9" customWidth="1" min="11" max="11"/>
    <col width="9" customWidth="1" min="12" max="12"/>
    <col width="9" customWidth="1" min="13" max="13"/>
    <col width="22" customWidth="1" min="14" max="14"/>
    <col width="44" customWidth="1" min="16" max="16"/>
  </cols>
  <sheetData>
    <row r="1" ht="27.6" customHeight="1">
      <c r="A1" s="1" t="inlineStr">
        <is>
          <t>Criticized Mix &amp; 8-K Credit Events</t>
        </is>
      </c>
      <c r="P1" s="2" t="n"/>
    </row>
    <row r="2" ht="18.4" customHeight="1">
      <c r="A2" s="3" t="inlineStr">
        <is>
          <t>Left: criticized-$ share by coarse commercial class ([CLASS_MAP]: C&amp;I / CRE / construction / other). Right: the 8-K credit-event lane harvested from the submissions items[] array -- 2.04 debt acceleration, 2.06 impairment, 4.02 non-reliance, 1.03 receivership (any 2.04/4.02/1.03 = automatic WATCH), 2.02 informational. Trailing 4 quarters; accession links in Raw_EDGAR event blocks.</t>
        </is>
      </c>
      <c r="B2" s="4" t="n"/>
      <c r="C2" s="4" t="n"/>
      <c r="D2" s="4" t="n"/>
      <c r="E2" s="4" t="n"/>
      <c r="F2" s="4" t="n"/>
      <c r="G2" s="4" t="n"/>
      <c r="H2" s="4" t="n"/>
      <c r="I2" s="4" t="n"/>
      <c r="J2" s="4" t="n"/>
      <c r="K2" s="4" t="n"/>
      <c r="L2" s="4" t="n"/>
      <c r="M2" s="4" t="n"/>
      <c r="N2" s="4" t="n"/>
      <c r="P2" s="2" t="n"/>
    </row>
    <row r="3">
      <c r="A3" s="5" t="inlineStr">
        <is>
          <t>8-K WATCH EVENTS</t>
        </is>
      </c>
      <c r="B3" s="6" t="n"/>
      <c r="C3" s="6" t="n"/>
      <c r="D3" s="5" t="inlineStr">
        <is>
          <t>BANKS IN ALERT</t>
        </is>
      </c>
      <c r="E3" s="6" t="n"/>
      <c r="F3" s="6" t="n"/>
      <c r="G3" s="7" t="inlineStr">
        <is>
          <t>BANKS TRACKED</t>
        </is>
      </c>
      <c r="H3" s="8" t="n"/>
      <c r="I3" s="8" t="n"/>
      <c r="P3" s="2" t="n"/>
    </row>
    <row r="4" ht="26" customHeight="1">
      <c r="A4" s="9">
        <f>SUM(Watchlist!$F$5:$F$24)</f>
        <v/>
      </c>
      <c r="D4" s="9">
        <f>COUNTIF(Watchlist!$H$5:$H$24,"ALERT")</f>
        <v/>
      </c>
      <c r="G4" s="9">
        <f>COUNTIF(Watchlist!$A$5:$A$24,"?*")</f>
        <v/>
      </c>
      <c r="P4" s="10" t="n"/>
    </row>
    <row r="5">
      <c r="A5" s="11" t="inlineStr">
        <is>
          <t>2.04 / 4.02 / 1.03 filings, trailing 4Q</t>
        </is>
      </c>
      <c r="D5" s="11" t="inlineStr">
        <is>
          <t>of 10 active</t>
        </is>
      </c>
      <c r="G5" s="11" t="inlineStr">
        <is>
          <t>of 20 built slots</t>
        </is>
      </c>
    </row>
    <row r="6" ht="8" customHeight="1"/>
    <row r="7" ht="22" customHeight="1">
      <c r="A7" s="12" t="inlineStr">
        <is>
          <t>Bank</t>
        </is>
      </c>
      <c r="B7" s="12" t="inlineStr">
        <is>
          <t>CIK</t>
        </is>
      </c>
      <c r="C7" s="12" t="inlineStr">
        <is>
          <t>Family</t>
        </is>
      </c>
      <c r="D7" s="13" t="inlineStr">
        <is>
          <t>Criticized $M</t>
        </is>
      </c>
      <c r="E7" s="13" t="inlineStr">
        <is>
          <t>Mix C&amp;I %</t>
        </is>
      </c>
      <c r="F7" s="13" t="inlineStr">
        <is>
          <t>Mix CRE %</t>
        </is>
      </c>
      <c r="G7" s="13" t="inlineStr">
        <is>
          <t>Mix Constr %</t>
        </is>
      </c>
      <c r="H7" s="13" t="inlineStr">
        <is>
          <t>Mix Other %</t>
        </is>
      </c>
      <c r="I7" s="14" t="inlineStr">
        <is>
          <t>8-K 2.04</t>
        </is>
      </c>
      <c r="J7" s="14" t="inlineStr">
        <is>
          <t>8-K 2.06</t>
        </is>
      </c>
      <c r="K7" s="14" t="inlineStr">
        <is>
          <t>8-K 4.02</t>
        </is>
      </c>
      <c r="L7" s="14" t="inlineStr">
        <is>
          <t>8-K 1.03</t>
        </is>
      </c>
      <c r="M7" s="14" t="inlineStr">
        <is>
          <t>8-K 2.02</t>
        </is>
      </c>
      <c r="N7" s="13" t="inlineStr">
        <is>
          <t>Latest 8-K</t>
        </is>
      </c>
    </row>
    <row r="8">
      <c r="A8" s="15">
        <f>IF(_config!$C$24="","",_config!$C$24)</f>
        <v/>
      </c>
      <c r="B8" s="16">
        <f>IF(_config!$B$24="","",_config!$B$24)</f>
        <v/>
      </c>
      <c r="C8" s="17">
        <f>IF(Raw_EDGAR!$D$2="","",Raw_EDGAR!$D$2)</f>
        <v/>
      </c>
      <c r="D8" s="18">
        <f>IF(Raw_EDGAR!H4="","",Raw_EDGAR!H4/1000000)</f>
        <v/>
      </c>
      <c r="E8" s="18">
        <f>IF(Raw_EDGAR!L4="","",Raw_EDGAR!L4)</f>
        <v/>
      </c>
      <c r="F8" s="18">
        <f>IF(Raw_EDGAR!M4="","",Raw_EDGAR!M4)</f>
        <v/>
      </c>
      <c r="G8" s="18">
        <f>IF(Raw_EDGAR!N4="","",Raw_EDGAR!N4)</f>
        <v/>
      </c>
      <c r="H8" s="18">
        <f>IF(Raw_EDGAR!O4="","",Raw_EDGAR!O4)</f>
        <v/>
      </c>
      <c r="I8" s="19">
        <f>IF($A8="","",COUNTIF(Raw_EDGAR!$B$54:$B$61,"2.04"))</f>
        <v/>
      </c>
      <c r="J8" s="19">
        <f>IF($A8="","",COUNTIF(Raw_EDGAR!$B$54:$B$61,"2.06"))</f>
        <v/>
      </c>
      <c r="K8" s="19">
        <f>IF($A8="","",COUNTIF(Raw_EDGAR!$B$54:$B$61,"4.02"))</f>
        <v/>
      </c>
      <c r="L8" s="19">
        <f>IF($A8="","",COUNTIF(Raw_EDGAR!$B$54:$B$61,"1.03"))</f>
        <v/>
      </c>
      <c r="M8" s="19">
        <f>IF($A8="","",COUNTIF(Raw_EDGAR!$B$54:$B$61,"2.02"))</f>
        <v/>
      </c>
      <c r="N8" s="22">
        <f>IF(Raw_EDGAR!$A$54="","",Raw_EDGAR!$A$54&amp;"  item "&amp;Raw_EDGAR!$B$54)</f>
        <v/>
      </c>
    </row>
    <row r="9">
      <c r="A9" s="15">
        <f>IF(_config!$C$25="","",_config!$C$25)</f>
        <v/>
      </c>
      <c r="B9" s="16">
        <f>IF(_config!$B$25="","",_config!$B$25)</f>
        <v/>
      </c>
      <c r="C9" s="17">
        <f>IF(Raw_EDGAR!$D$64="","",Raw_EDGAR!$D$64)</f>
        <v/>
      </c>
      <c r="D9" s="18">
        <f>IF(Raw_EDGAR!H66="","",Raw_EDGAR!H66/1000000)</f>
        <v/>
      </c>
      <c r="E9" s="18">
        <f>IF(Raw_EDGAR!L66="","",Raw_EDGAR!L66)</f>
        <v/>
      </c>
      <c r="F9" s="18">
        <f>IF(Raw_EDGAR!M66="","",Raw_EDGAR!M66)</f>
        <v/>
      </c>
      <c r="G9" s="18">
        <f>IF(Raw_EDGAR!N66="","",Raw_EDGAR!N66)</f>
        <v/>
      </c>
      <c r="H9" s="18">
        <f>IF(Raw_EDGAR!O66="","",Raw_EDGAR!O66)</f>
        <v/>
      </c>
      <c r="I9" s="19">
        <f>IF($A9="","",COUNTIF(Raw_EDGAR!$B$116:$B$123,"2.04"))</f>
        <v/>
      </c>
      <c r="J9" s="19">
        <f>IF($A9="","",COUNTIF(Raw_EDGAR!$B$116:$B$123,"2.06"))</f>
        <v/>
      </c>
      <c r="K9" s="19">
        <f>IF($A9="","",COUNTIF(Raw_EDGAR!$B$116:$B$123,"4.02"))</f>
        <v/>
      </c>
      <c r="L9" s="19">
        <f>IF($A9="","",COUNTIF(Raw_EDGAR!$B$116:$B$123,"1.03"))</f>
        <v/>
      </c>
      <c r="M9" s="19">
        <f>IF($A9="","",COUNTIF(Raw_EDGAR!$B$116:$B$123,"2.02"))</f>
        <v/>
      </c>
      <c r="N9" s="22">
        <f>IF(Raw_EDGAR!$A$116="","",Raw_EDGAR!$A$116&amp;"  item "&amp;Raw_EDGAR!$B$116)</f>
        <v/>
      </c>
    </row>
    <row r="10">
      <c r="A10" s="15">
        <f>IF(_config!$C$26="","",_config!$C$26)</f>
        <v/>
      </c>
      <c r="B10" s="16">
        <f>IF(_config!$B$26="","",_config!$B$26)</f>
        <v/>
      </c>
      <c r="C10" s="17">
        <f>IF(Raw_EDGAR!$D$126="","",Raw_EDGAR!$D$126)</f>
        <v/>
      </c>
      <c r="D10" s="18">
        <f>IF(Raw_EDGAR!H128="","",Raw_EDGAR!H128/1000000)</f>
        <v/>
      </c>
      <c r="E10" s="18">
        <f>IF(Raw_EDGAR!L128="","",Raw_EDGAR!L128)</f>
        <v/>
      </c>
      <c r="F10" s="18">
        <f>IF(Raw_EDGAR!M128="","",Raw_EDGAR!M128)</f>
        <v/>
      </c>
      <c r="G10" s="18">
        <f>IF(Raw_EDGAR!N128="","",Raw_EDGAR!N128)</f>
        <v/>
      </c>
      <c r="H10" s="18">
        <f>IF(Raw_EDGAR!O128="","",Raw_EDGAR!O128)</f>
        <v/>
      </c>
      <c r="I10" s="19">
        <f>IF($A10="","",COUNTIF(Raw_EDGAR!$B$178:$B$185,"2.04"))</f>
        <v/>
      </c>
      <c r="J10" s="19">
        <f>IF($A10="","",COUNTIF(Raw_EDGAR!$B$178:$B$185,"2.06"))</f>
        <v/>
      </c>
      <c r="K10" s="19">
        <f>IF($A10="","",COUNTIF(Raw_EDGAR!$B$178:$B$185,"4.02"))</f>
        <v/>
      </c>
      <c r="L10" s="19">
        <f>IF($A10="","",COUNTIF(Raw_EDGAR!$B$178:$B$185,"1.03"))</f>
        <v/>
      </c>
      <c r="M10" s="19">
        <f>IF($A10="","",COUNTIF(Raw_EDGAR!$B$178:$B$185,"2.02"))</f>
        <v/>
      </c>
      <c r="N10" s="22">
        <f>IF(Raw_EDGAR!$A$178="","",Raw_EDGAR!$A$178&amp;"  item "&amp;Raw_EDGAR!$B$178)</f>
        <v/>
      </c>
    </row>
    <row r="11">
      <c r="A11" s="15">
        <f>IF(_config!$C$27="","",_config!$C$27)</f>
        <v/>
      </c>
      <c r="B11" s="16">
        <f>IF(_config!$B$27="","",_config!$B$27)</f>
        <v/>
      </c>
      <c r="C11" s="17">
        <f>IF(Raw_EDGAR!$D$188="","",Raw_EDGAR!$D$188)</f>
        <v/>
      </c>
      <c r="D11" s="18">
        <f>IF(Raw_EDGAR!H190="","",Raw_EDGAR!H190/1000000)</f>
        <v/>
      </c>
      <c r="E11" s="18">
        <f>IF(Raw_EDGAR!L190="","",Raw_EDGAR!L190)</f>
        <v/>
      </c>
      <c r="F11" s="18">
        <f>IF(Raw_EDGAR!M190="","",Raw_EDGAR!M190)</f>
        <v/>
      </c>
      <c r="G11" s="18">
        <f>IF(Raw_EDGAR!N190="","",Raw_EDGAR!N190)</f>
        <v/>
      </c>
      <c r="H11" s="18">
        <f>IF(Raw_EDGAR!O190="","",Raw_EDGAR!O190)</f>
        <v/>
      </c>
      <c r="I11" s="19">
        <f>IF($A11="","",COUNTIF(Raw_EDGAR!$B$240:$B$247,"2.04"))</f>
        <v/>
      </c>
      <c r="J11" s="19">
        <f>IF($A11="","",COUNTIF(Raw_EDGAR!$B$240:$B$247,"2.06"))</f>
        <v/>
      </c>
      <c r="K11" s="19">
        <f>IF($A11="","",COUNTIF(Raw_EDGAR!$B$240:$B$247,"4.02"))</f>
        <v/>
      </c>
      <c r="L11" s="19">
        <f>IF($A11="","",COUNTIF(Raw_EDGAR!$B$240:$B$247,"1.03"))</f>
        <v/>
      </c>
      <c r="M11" s="19">
        <f>IF($A11="","",COUNTIF(Raw_EDGAR!$B$240:$B$247,"2.02"))</f>
        <v/>
      </c>
      <c r="N11" s="22">
        <f>IF(Raw_EDGAR!$A$240="","",Raw_EDGAR!$A$240&amp;"  item "&amp;Raw_EDGAR!$B$240)</f>
        <v/>
      </c>
    </row>
    <row r="12">
      <c r="A12" s="15">
        <f>IF(_config!$C$28="","",_config!$C$28)</f>
        <v/>
      </c>
      <c r="B12" s="16">
        <f>IF(_config!$B$28="","",_config!$B$28)</f>
        <v/>
      </c>
      <c r="C12" s="17">
        <f>IF(Raw_EDGAR!$D$250="","",Raw_EDGAR!$D$250)</f>
        <v/>
      </c>
      <c r="D12" s="18">
        <f>IF(Raw_EDGAR!H252="","",Raw_EDGAR!H252/1000000)</f>
        <v/>
      </c>
      <c r="E12" s="18">
        <f>IF(Raw_EDGAR!L252="","",Raw_EDGAR!L252)</f>
        <v/>
      </c>
      <c r="F12" s="18">
        <f>IF(Raw_EDGAR!M252="","",Raw_EDGAR!M252)</f>
        <v/>
      </c>
      <c r="G12" s="18">
        <f>IF(Raw_EDGAR!N252="","",Raw_EDGAR!N252)</f>
        <v/>
      </c>
      <c r="H12" s="18">
        <f>IF(Raw_EDGAR!O252="","",Raw_EDGAR!O252)</f>
        <v/>
      </c>
      <c r="I12" s="19">
        <f>IF($A12="","",COUNTIF(Raw_EDGAR!$B$302:$B$309,"2.04"))</f>
        <v/>
      </c>
      <c r="J12" s="19">
        <f>IF($A12="","",COUNTIF(Raw_EDGAR!$B$302:$B$309,"2.06"))</f>
        <v/>
      </c>
      <c r="K12" s="19">
        <f>IF($A12="","",COUNTIF(Raw_EDGAR!$B$302:$B$309,"4.02"))</f>
        <v/>
      </c>
      <c r="L12" s="19">
        <f>IF($A12="","",COUNTIF(Raw_EDGAR!$B$302:$B$309,"1.03"))</f>
        <v/>
      </c>
      <c r="M12" s="19">
        <f>IF($A12="","",COUNTIF(Raw_EDGAR!$B$302:$B$309,"2.02"))</f>
        <v/>
      </c>
      <c r="N12" s="22">
        <f>IF(Raw_EDGAR!$A$302="","",Raw_EDGAR!$A$302&amp;"  item "&amp;Raw_EDGAR!$B$302)</f>
        <v/>
      </c>
    </row>
    <row r="13">
      <c r="A13" s="15">
        <f>IF(_config!$C$29="","",_config!$C$29)</f>
        <v/>
      </c>
      <c r="B13" s="16">
        <f>IF(_config!$B$29="","",_config!$B$29)</f>
        <v/>
      </c>
      <c r="C13" s="17">
        <f>IF(Raw_EDGAR!$D$312="","",Raw_EDGAR!$D$312)</f>
        <v/>
      </c>
      <c r="D13" s="18">
        <f>IF(Raw_EDGAR!H314="","",Raw_EDGAR!H314/1000000)</f>
        <v/>
      </c>
      <c r="E13" s="18">
        <f>IF(Raw_EDGAR!L314="","",Raw_EDGAR!L314)</f>
        <v/>
      </c>
      <c r="F13" s="18">
        <f>IF(Raw_EDGAR!M314="","",Raw_EDGAR!M314)</f>
        <v/>
      </c>
      <c r="G13" s="18">
        <f>IF(Raw_EDGAR!N314="","",Raw_EDGAR!N314)</f>
        <v/>
      </c>
      <c r="H13" s="18">
        <f>IF(Raw_EDGAR!O314="","",Raw_EDGAR!O314)</f>
        <v/>
      </c>
      <c r="I13" s="19">
        <f>IF($A13="","",COUNTIF(Raw_EDGAR!$B$364:$B$371,"2.04"))</f>
        <v/>
      </c>
      <c r="J13" s="19">
        <f>IF($A13="","",COUNTIF(Raw_EDGAR!$B$364:$B$371,"2.06"))</f>
        <v/>
      </c>
      <c r="K13" s="19">
        <f>IF($A13="","",COUNTIF(Raw_EDGAR!$B$364:$B$371,"4.02"))</f>
        <v/>
      </c>
      <c r="L13" s="19">
        <f>IF($A13="","",COUNTIF(Raw_EDGAR!$B$364:$B$371,"1.03"))</f>
        <v/>
      </c>
      <c r="M13" s="19">
        <f>IF($A13="","",COUNTIF(Raw_EDGAR!$B$364:$B$371,"2.02"))</f>
        <v/>
      </c>
      <c r="N13" s="22">
        <f>IF(Raw_EDGAR!$A$364="","",Raw_EDGAR!$A$364&amp;"  item "&amp;Raw_EDGAR!$B$364)</f>
        <v/>
      </c>
    </row>
    <row r="14">
      <c r="A14" s="15">
        <f>IF(_config!$C$30="","",_config!$C$30)</f>
        <v/>
      </c>
      <c r="B14" s="16">
        <f>IF(_config!$B$30="","",_config!$B$30)</f>
        <v/>
      </c>
      <c r="C14" s="17">
        <f>IF(Raw_EDGAR!$D$374="","",Raw_EDGAR!$D$374)</f>
        <v/>
      </c>
      <c r="D14" s="18">
        <f>IF(Raw_EDGAR!H376="","",Raw_EDGAR!H376/1000000)</f>
        <v/>
      </c>
      <c r="E14" s="18">
        <f>IF(Raw_EDGAR!L376="","",Raw_EDGAR!L376)</f>
        <v/>
      </c>
      <c r="F14" s="18">
        <f>IF(Raw_EDGAR!M376="","",Raw_EDGAR!M376)</f>
        <v/>
      </c>
      <c r="G14" s="18">
        <f>IF(Raw_EDGAR!N376="","",Raw_EDGAR!N376)</f>
        <v/>
      </c>
      <c r="H14" s="18">
        <f>IF(Raw_EDGAR!O376="","",Raw_EDGAR!O376)</f>
        <v/>
      </c>
      <c r="I14" s="19">
        <f>IF($A14="","",COUNTIF(Raw_EDGAR!$B$426:$B$433,"2.04"))</f>
        <v/>
      </c>
      <c r="J14" s="19">
        <f>IF($A14="","",COUNTIF(Raw_EDGAR!$B$426:$B$433,"2.06"))</f>
        <v/>
      </c>
      <c r="K14" s="19">
        <f>IF($A14="","",COUNTIF(Raw_EDGAR!$B$426:$B$433,"4.02"))</f>
        <v/>
      </c>
      <c r="L14" s="19">
        <f>IF($A14="","",COUNTIF(Raw_EDGAR!$B$426:$B$433,"1.03"))</f>
        <v/>
      </c>
      <c r="M14" s="19">
        <f>IF($A14="","",COUNTIF(Raw_EDGAR!$B$426:$B$433,"2.02"))</f>
        <v/>
      </c>
      <c r="N14" s="22">
        <f>IF(Raw_EDGAR!$A$426="","",Raw_EDGAR!$A$426&amp;"  item "&amp;Raw_EDGAR!$B$426)</f>
        <v/>
      </c>
    </row>
    <row r="15">
      <c r="A15" s="15">
        <f>IF(_config!$C$31="","",_config!$C$31)</f>
        <v/>
      </c>
      <c r="B15" s="16">
        <f>IF(_config!$B$31="","",_config!$B$31)</f>
        <v/>
      </c>
      <c r="C15" s="17">
        <f>IF(Raw_EDGAR!$D$436="","",Raw_EDGAR!$D$436)</f>
        <v/>
      </c>
      <c r="D15" s="18">
        <f>IF(Raw_EDGAR!H438="","",Raw_EDGAR!H438/1000000)</f>
        <v/>
      </c>
      <c r="E15" s="18">
        <f>IF(Raw_EDGAR!L438="","",Raw_EDGAR!L438)</f>
        <v/>
      </c>
      <c r="F15" s="18">
        <f>IF(Raw_EDGAR!M438="","",Raw_EDGAR!M438)</f>
        <v/>
      </c>
      <c r="G15" s="18">
        <f>IF(Raw_EDGAR!N438="","",Raw_EDGAR!N438)</f>
        <v/>
      </c>
      <c r="H15" s="18">
        <f>IF(Raw_EDGAR!O438="","",Raw_EDGAR!O438)</f>
        <v/>
      </c>
      <c r="I15" s="19">
        <f>IF($A15="","",COUNTIF(Raw_EDGAR!$B$488:$B$495,"2.04"))</f>
        <v/>
      </c>
      <c r="J15" s="19">
        <f>IF($A15="","",COUNTIF(Raw_EDGAR!$B$488:$B$495,"2.06"))</f>
        <v/>
      </c>
      <c r="K15" s="19">
        <f>IF($A15="","",COUNTIF(Raw_EDGAR!$B$488:$B$495,"4.02"))</f>
        <v/>
      </c>
      <c r="L15" s="19">
        <f>IF($A15="","",COUNTIF(Raw_EDGAR!$B$488:$B$495,"1.03"))</f>
        <v/>
      </c>
      <c r="M15" s="19">
        <f>IF($A15="","",COUNTIF(Raw_EDGAR!$B$488:$B$495,"2.02"))</f>
        <v/>
      </c>
      <c r="N15" s="22">
        <f>IF(Raw_EDGAR!$A$488="","",Raw_EDGAR!$A$488&amp;"  item "&amp;Raw_EDGAR!$B$488)</f>
        <v/>
      </c>
    </row>
    <row r="16">
      <c r="A16" s="15">
        <f>IF(_config!$C$32="","",_config!$C$32)</f>
        <v/>
      </c>
      <c r="B16" s="16">
        <f>IF(_config!$B$32="","",_config!$B$32)</f>
        <v/>
      </c>
      <c r="C16" s="17">
        <f>IF(Raw_EDGAR!$D$498="","",Raw_EDGAR!$D$498)</f>
        <v/>
      </c>
      <c r="D16" s="18">
        <f>IF(Raw_EDGAR!H500="","",Raw_EDGAR!H500/1000000)</f>
        <v/>
      </c>
      <c r="E16" s="18">
        <f>IF(Raw_EDGAR!L500="","",Raw_EDGAR!L500)</f>
        <v/>
      </c>
      <c r="F16" s="18">
        <f>IF(Raw_EDGAR!M500="","",Raw_EDGAR!M500)</f>
        <v/>
      </c>
      <c r="G16" s="18">
        <f>IF(Raw_EDGAR!N500="","",Raw_EDGAR!N500)</f>
        <v/>
      </c>
      <c r="H16" s="18">
        <f>IF(Raw_EDGAR!O500="","",Raw_EDGAR!O500)</f>
        <v/>
      </c>
      <c r="I16" s="19">
        <f>IF($A16="","",COUNTIF(Raw_EDGAR!$B$550:$B$557,"2.04"))</f>
        <v/>
      </c>
      <c r="J16" s="19">
        <f>IF($A16="","",COUNTIF(Raw_EDGAR!$B$550:$B$557,"2.06"))</f>
        <v/>
      </c>
      <c r="K16" s="19">
        <f>IF($A16="","",COUNTIF(Raw_EDGAR!$B$550:$B$557,"4.02"))</f>
        <v/>
      </c>
      <c r="L16" s="19">
        <f>IF($A16="","",COUNTIF(Raw_EDGAR!$B$550:$B$557,"1.03"))</f>
        <v/>
      </c>
      <c r="M16" s="19">
        <f>IF($A16="","",COUNTIF(Raw_EDGAR!$B$550:$B$557,"2.02"))</f>
        <v/>
      </c>
      <c r="N16" s="22">
        <f>IF(Raw_EDGAR!$A$550="","",Raw_EDGAR!$A$550&amp;"  item "&amp;Raw_EDGAR!$B$550)</f>
        <v/>
      </c>
    </row>
    <row r="17">
      <c r="A17" s="15">
        <f>IF(_config!$C$33="","",_config!$C$33)</f>
        <v/>
      </c>
      <c r="B17" s="16">
        <f>IF(_config!$B$33="","",_config!$B$33)</f>
        <v/>
      </c>
      <c r="C17" s="17">
        <f>IF(Raw_EDGAR!$D$560="","",Raw_EDGAR!$D$560)</f>
        <v/>
      </c>
      <c r="D17" s="18">
        <f>IF(Raw_EDGAR!H562="","",Raw_EDGAR!H562/1000000)</f>
        <v/>
      </c>
      <c r="E17" s="18">
        <f>IF(Raw_EDGAR!L562="","",Raw_EDGAR!L562)</f>
        <v/>
      </c>
      <c r="F17" s="18">
        <f>IF(Raw_EDGAR!M562="","",Raw_EDGAR!M562)</f>
        <v/>
      </c>
      <c r="G17" s="18">
        <f>IF(Raw_EDGAR!N562="","",Raw_EDGAR!N562)</f>
        <v/>
      </c>
      <c r="H17" s="18">
        <f>IF(Raw_EDGAR!O562="","",Raw_EDGAR!O562)</f>
        <v/>
      </c>
      <c r="I17" s="19">
        <f>IF($A17="","",COUNTIF(Raw_EDGAR!$B$612:$B$619,"2.04"))</f>
        <v/>
      </c>
      <c r="J17" s="19">
        <f>IF($A17="","",COUNTIF(Raw_EDGAR!$B$612:$B$619,"2.06"))</f>
        <v/>
      </c>
      <c r="K17" s="19">
        <f>IF($A17="","",COUNTIF(Raw_EDGAR!$B$612:$B$619,"4.02"))</f>
        <v/>
      </c>
      <c r="L17" s="19">
        <f>IF($A17="","",COUNTIF(Raw_EDGAR!$B$612:$B$619,"1.03"))</f>
        <v/>
      </c>
      <c r="M17" s="19">
        <f>IF($A17="","",COUNTIF(Raw_EDGAR!$B$612:$B$619,"2.02"))</f>
        <v/>
      </c>
      <c r="N17" s="22">
        <f>IF(Raw_EDGAR!$A$612="","",Raw_EDGAR!$A$612&amp;"  item "&amp;Raw_EDGAR!$B$612)</f>
        <v/>
      </c>
    </row>
    <row r="18">
      <c r="A18" s="15">
        <f>IF(_config!$C$34="","",_config!$C$34)</f>
        <v/>
      </c>
      <c r="B18" s="16">
        <f>IF(_config!$B$34="","",_config!$B$34)</f>
        <v/>
      </c>
      <c r="C18" s="17">
        <f>IF(Raw_EDGAR!$D$622="","",Raw_EDGAR!$D$622)</f>
        <v/>
      </c>
      <c r="D18" s="18">
        <f>IF(Raw_EDGAR!H624="","",Raw_EDGAR!H624/1000000)</f>
        <v/>
      </c>
      <c r="E18" s="18">
        <f>IF(Raw_EDGAR!L624="","",Raw_EDGAR!L624)</f>
        <v/>
      </c>
      <c r="F18" s="18">
        <f>IF(Raw_EDGAR!M624="","",Raw_EDGAR!M624)</f>
        <v/>
      </c>
      <c r="G18" s="18">
        <f>IF(Raw_EDGAR!N624="","",Raw_EDGAR!N624)</f>
        <v/>
      </c>
      <c r="H18" s="18">
        <f>IF(Raw_EDGAR!O624="","",Raw_EDGAR!O624)</f>
        <v/>
      </c>
      <c r="I18" s="19">
        <f>IF($A18="","",COUNTIF(Raw_EDGAR!$B$674:$B$681,"2.04"))</f>
        <v/>
      </c>
      <c r="J18" s="19">
        <f>IF($A18="","",COUNTIF(Raw_EDGAR!$B$674:$B$681,"2.06"))</f>
        <v/>
      </c>
      <c r="K18" s="19">
        <f>IF($A18="","",COUNTIF(Raw_EDGAR!$B$674:$B$681,"4.02"))</f>
        <v/>
      </c>
      <c r="L18" s="19">
        <f>IF($A18="","",COUNTIF(Raw_EDGAR!$B$674:$B$681,"1.03"))</f>
        <v/>
      </c>
      <c r="M18" s="19">
        <f>IF($A18="","",COUNTIF(Raw_EDGAR!$B$674:$B$681,"2.02"))</f>
        <v/>
      </c>
      <c r="N18" s="22">
        <f>IF(Raw_EDGAR!$A$674="","",Raw_EDGAR!$A$674&amp;"  item "&amp;Raw_EDGAR!$B$674)</f>
        <v/>
      </c>
    </row>
    <row r="19">
      <c r="A19" s="15">
        <f>IF(_config!$C$35="","",_config!$C$35)</f>
        <v/>
      </c>
      <c r="B19" s="16">
        <f>IF(_config!$B$35="","",_config!$B$35)</f>
        <v/>
      </c>
      <c r="C19" s="17">
        <f>IF(Raw_EDGAR!$D$684="","",Raw_EDGAR!$D$684)</f>
        <v/>
      </c>
      <c r="D19" s="18">
        <f>IF(Raw_EDGAR!H686="","",Raw_EDGAR!H686/1000000)</f>
        <v/>
      </c>
      <c r="E19" s="18">
        <f>IF(Raw_EDGAR!L686="","",Raw_EDGAR!L686)</f>
        <v/>
      </c>
      <c r="F19" s="18">
        <f>IF(Raw_EDGAR!M686="","",Raw_EDGAR!M686)</f>
        <v/>
      </c>
      <c r="G19" s="18">
        <f>IF(Raw_EDGAR!N686="","",Raw_EDGAR!N686)</f>
        <v/>
      </c>
      <c r="H19" s="18">
        <f>IF(Raw_EDGAR!O686="","",Raw_EDGAR!O686)</f>
        <v/>
      </c>
      <c r="I19" s="19">
        <f>IF($A19="","",COUNTIF(Raw_EDGAR!$B$736:$B$743,"2.04"))</f>
        <v/>
      </c>
      <c r="J19" s="19">
        <f>IF($A19="","",COUNTIF(Raw_EDGAR!$B$736:$B$743,"2.06"))</f>
        <v/>
      </c>
      <c r="K19" s="19">
        <f>IF($A19="","",COUNTIF(Raw_EDGAR!$B$736:$B$743,"4.02"))</f>
        <v/>
      </c>
      <c r="L19" s="19">
        <f>IF($A19="","",COUNTIF(Raw_EDGAR!$B$736:$B$743,"1.03"))</f>
        <v/>
      </c>
      <c r="M19" s="19">
        <f>IF($A19="","",COUNTIF(Raw_EDGAR!$B$736:$B$743,"2.02"))</f>
        <v/>
      </c>
      <c r="N19" s="22">
        <f>IF(Raw_EDGAR!$A$736="","",Raw_EDGAR!$A$736&amp;"  item "&amp;Raw_EDGAR!$B$736)</f>
        <v/>
      </c>
    </row>
    <row r="20">
      <c r="A20" s="15">
        <f>IF(_config!$C$36="","",_config!$C$36)</f>
        <v/>
      </c>
      <c r="B20" s="16">
        <f>IF(_config!$B$36="","",_config!$B$36)</f>
        <v/>
      </c>
      <c r="C20" s="17">
        <f>IF(Raw_EDGAR!$D$746="","",Raw_EDGAR!$D$746)</f>
        <v/>
      </c>
      <c r="D20" s="18">
        <f>IF(Raw_EDGAR!H748="","",Raw_EDGAR!H748/1000000)</f>
        <v/>
      </c>
      <c r="E20" s="18">
        <f>IF(Raw_EDGAR!L748="","",Raw_EDGAR!L748)</f>
        <v/>
      </c>
      <c r="F20" s="18">
        <f>IF(Raw_EDGAR!M748="","",Raw_EDGAR!M748)</f>
        <v/>
      </c>
      <c r="G20" s="18">
        <f>IF(Raw_EDGAR!N748="","",Raw_EDGAR!N748)</f>
        <v/>
      </c>
      <c r="H20" s="18">
        <f>IF(Raw_EDGAR!O748="","",Raw_EDGAR!O748)</f>
        <v/>
      </c>
      <c r="I20" s="19">
        <f>IF($A20="","",COUNTIF(Raw_EDGAR!$B$798:$B$805,"2.04"))</f>
        <v/>
      </c>
      <c r="J20" s="19">
        <f>IF($A20="","",COUNTIF(Raw_EDGAR!$B$798:$B$805,"2.06"))</f>
        <v/>
      </c>
      <c r="K20" s="19">
        <f>IF($A20="","",COUNTIF(Raw_EDGAR!$B$798:$B$805,"4.02"))</f>
        <v/>
      </c>
      <c r="L20" s="19">
        <f>IF($A20="","",COUNTIF(Raw_EDGAR!$B$798:$B$805,"1.03"))</f>
        <v/>
      </c>
      <c r="M20" s="19">
        <f>IF($A20="","",COUNTIF(Raw_EDGAR!$B$798:$B$805,"2.02"))</f>
        <v/>
      </c>
      <c r="N20" s="22">
        <f>IF(Raw_EDGAR!$A$798="","",Raw_EDGAR!$A$798&amp;"  item "&amp;Raw_EDGAR!$B$798)</f>
        <v/>
      </c>
    </row>
    <row r="21">
      <c r="A21" s="15">
        <f>IF(_config!$C$37="","",_config!$C$37)</f>
        <v/>
      </c>
      <c r="B21" s="16">
        <f>IF(_config!$B$37="","",_config!$B$37)</f>
        <v/>
      </c>
      <c r="C21" s="17">
        <f>IF(Raw_EDGAR!$D$808="","",Raw_EDGAR!$D$808)</f>
        <v/>
      </c>
      <c r="D21" s="18">
        <f>IF(Raw_EDGAR!H810="","",Raw_EDGAR!H810/1000000)</f>
        <v/>
      </c>
      <c r="E21" s="18">
        <f>IF(Raw_EDGAR!L810="","",Raw_EDGAR!L810)</f>
        <v/>
      </c>
      <c r="F21" s="18">
        <f>IF(Raw_EDGAR!M810="","",Raw_EDGAR!M810)</f>
        <v/>
      </c>
      <c r="G21" s="18">
        <f>IF(Raw_EDGAR!N810="","",Raw_EDGAR!N810)</f>
        <v/>
      </c>
      <c r="H21" s="18">
        <f>IF(Raw_EDGAR!O810="","",Raw_EDGAR!O810)</f>
        <v/>
      </c>
      <c r="I21" s="19">
        <f>IF($A21="","",COUNTIF(Raw_EDGAR!$B$860:$B$867,"2.04"))</f>
        <v/>
      </c>
      <c r="J21" s="19">
        <f>IF($A21="","",COUNTIF(Raw_EDGAR!$B$860:$B$867,"2.06"))</f>
        <v/>
      </c>
      <c r="K21" s="19">
        <f>IF($A21="","",COUNTIF(Raw_EDGAR!$B$860:$B$867,"4.02"))</f>
        <v/>
      </c>
      <c r="L21" s="19">
        <f>IF($A21="","",COUNTIF(Raw_EDGAR!$B$860:$B$867,"1.03"))</f>
        <v/>
      </c>
      <c r="M21" s="19">
        <f>IF($A21="","",COUNTIF(Raw_EDGAR!$B$860:$B$867,"2.02"))</f>
        <v/>
      </c>
      <c r="N21" s="22">
        <f>IF(Raw_EDGAR!$A$860="","",Raw_EDGAR!$A$860&amp;"  item "&amp;Raw_EDGAR!$B$860)</f>
        <v/>
      </c>
    </row>
    <row r="22">
      <c r="A22" s="15">
        <f>IF(_config!$C$38="","",_config!$C$38)</f>
        <v/>
      </c>
      <c r="B22" s="16">
        <f>IF(_config!$B$38="","",_config!$B$38)</f>
        <v/>
      </c>
      <c r="C22" s="17">
        <f>IF(Raw_EDGAR!$D$870="","",Raw_EDGAR!$D$870)</f>
        <v/>
      </c>
      <c r="D22" s="18">
        <f>IF(Raw_EDGAR!H872="","",Raw_EDGAR!H872/1000000)</f>
        <v/>
      </c>
      <c r="E22" s="18">
        <f>IF(Raw_EDGAR!L872="","",Raw_EDGAR!L872)</f>
        <v/>
      </c>
      <c r="F22" s="18">
        <f>IF(Raw_EDGAR!M872="","",Raw_EDGAR!M872)</f>
        <v/>
      </c>
      <c r="G22" s="18">
        <f>IF(Raw_EDGAR!N872="","",Raw_EDGAR!N872)</f>
        <v/>
      </c>
      <c r="H22" s="18">
        <f>IF(Raw_EDGAR!O872="","",Raw_EDGAR!O872)</f>
        <v/>
      </c>
      <c r="I22" s="19">
        <f>IF($A22="","",COUNTIF(Raw_EDGAR!$B$922:$B$929,"2.04"))</f>
        <v/>
      </c>
      <c r="J22" s="19">
        <f>IF($A22="","",COUNTIF(Raw_EDGAR!$B$922:$B$929,"2.06"))</f>
        <v/>
      </c>
      <c r="K22" s="19">
        <f>IF($A22="","",COUNTIF(Raw_EDGAR!$B$922:$B$929,"4.02"))</f>
        <v/>
      </c>
      <c r="L22" s="19">
        <f>IF($A22="","",COUNTIF(Raw_EDGAR!$B$922:$B$929,"1.03"))</f>
        <v/>
      </c>
      <c r="M22" s="19">
        <f>IF($A22="","",COUNTIF(Raw_EDGAR!$B$922:$B$929,"2.02"))</f>
        <v/>
      </c>
      <c r="N22" s="22">
        <f>IF(Raw_EDGAR!$A$922="","",Raw_EDGAR!$A$922&amp;"  item "&amp;Raw_EDGAR!$B$922)</f>
        <v/>
      </c>
    </row>
    <row r="23">
      <c r="A23" s="15">
        <f>IF(_config!$C$39="","",_config!$C$39)</f>
        <v/>
      </c>
      <c r="B23" s="16">
        <f>IF(_config!$B$39="","",_config!$B$39)</f>
        <v/>
      </c>
      <c r="C23" s="17">
        <f>IF(Raw_EDGAR!$D$932="","",Raw_EDGAR!$D$932)</f>
        <v/>
      </c>
      <c r="D23" s="18">
        <f>IF(Raw_EDGAR!H934="","",Raw_EDGAR!H934/1000000)</f>
        <v/>
      </c>
      <c r="E23" s="18">
        <f>IF(Raw_EDGAR!L934="","",Raw_EDGAR!L934)</f>
        <v/>
      </c>
      <c r="F23" s="18">
        <f>IF(Raw_EDGAR!M934="","",Raw_EDGAR!M934)</f>
        <v/>
      </c>
      <c r="G23" s="18">
        <f>IF(Raw_EDGAR!N934="","",Raw_EDGAR!N934)</f>
        <v/>
      </c>
      <c r="H23" s="18">
        <f>IF(Raw_EDGAR!O934="","",Raw_EDGAR!O934)</f>
        <v/>
      </c>
      <c r="I23" s="19">
        <f>IF($A23="","",COUNTIF(Raw_EDGAR!$B$984:$B$991,"2.04"))</f>
        <v/>
      </c>
      <c r="J23" s="19">
        <f>IF($A23="","",COUNTIF(Raw_EDGAR!$B$984:$B$991,"2.06"))</f>
        <v/>
      </c>
      <c r="K23" s="19">
        <f>IF($A23="","",COUNTIF(Raw_EDGAR!$B$984:$B$991,"4.02"))</f>
        <v/>
      </c>
      <c r="L23" s="19">
        <f>IF($A23="","",COUNTIF(Raw_EDGAR!$B$984:$B$991,"1.03"))</f>
        <v/>
      </c>
      <c r="M23" s="19">
        <f>IF($A23="","",COUNTIF(Raw_EDGAR!$B$984:$B$991,"2.02"))</f>
        <v/>
      </c>
      <c r="N23" s="22">
        <f>IF(Raw_EDGAR!$A$984="","",Raw_EDGAR!$A$984&amp;"  item "&amp;Raw_EDGAR!$B$984)</f>
        <v/>
      </c>
    </row>
    <row r="24">
      <c r="A24" s="15">
        <f>IF(_config!$C$40="","",_config!$C$40)</f>
        <v/>
      </c>
      <c r="B24" s="16">
        <f>IF(_config!$B$40="","",_config!$B$40)</f>
        <v/>
      </c>
      <c r="C24" s="17">
        <f>IF(Raw_EDGAR!$D$994="","",Raw_EDGAR!$D$994)</f>
        <v/>
      </c>
      <c r="D24" s="18">
        <f>IF(Raw_EDGAR!H996="","",Raw_EDGAR!H996/1000000)</f>
        <v/>
      </c>
      <c r="E24" s="18">
        <f>IF(Raw_EDGAR!L996="","",Raw_EDGAR!L996)</f>
        <v/>
      </c>
      <c r="F24" s="18">
        <f>IF(Raw_EDGAR!M996="","",Raw_EDGAR!M996)</f>
        <v/>
      </c>
      <c r="G24" s="18">
        <f>IF(Raw_EDGAR!N996="","",Raw_EDGAR!N996)</f>
        <v/>
      </c>
      <c r="H24" s="18">
        <f>IF(Raw_EDGAR!O996="","",Raw_EDGAR!O996)</f>
        <v/>
      </c>
      <c r="I24" s="19">
        <f>IF($A24="","",COUNTIF(Raw_EDGAR!$B$1046:$B$1053,"2.04"))</f>
        <v/>
      </c>
      <c r="J24" s="19">
        <f>IF($A24="","",COUNTIF(Raw_EDGAR!$B$1046:$B$1053,"2.06"))</f>
        <v/>
      </c>
      <c r="K24" s="19">
        <f>IF($A24="","",COUNTIF(Raw_EDGAR!$B$1046:$B$1053,"4.02"))</f>
        <v/>
      </c>
      <c r="L24" s="19">
        <f>IF($A24="","",COUNTIF(Raw_EDGAR!$B$1046:$B$1053,"1.03"))</f>
        <v/>
      </c>
      <c r="M24" s="19">
        <f>IF($A24="","",COUNTIF(Raw_EDGAR!$B$1046:$B$1053,"2.02"))</f>
        <v/>
      </c>
      <c r="N24" s="22">
        <f>IF(Raw_EDGAR!$A$1046="","",Raw_EDGAR!$A$1046&amp;"  item "&amp;Raw_EDGAR!$B$1046)</f>
        <v/>
      </c>
    </row>
    <row r="25">
      <c r="A25" s="15">
        <f>IF(_config!$C$41="","",_config!$C$41)</f>
        <v/>
      </c>
      <c r="B25" s="16">
        <f>IF(_config!$B$41="","",_config!$B$41)</f>
        <v/>
      </c>
      <c r="C25" s="17">
        <f>IF(Raw_EDGAR!$D$1056="","",Raw_EDGAR!$D$1056)</f>
        <v/>
      </c>
      <c r="D25" s="18">
        <f>IF(Raw_EDGAR!H1058="","",Raw_EDGAR!H1058/1000000)</f>
        <v/>
      </c>
      <c r="E25" s="18">
        <f>IF(Raw_EDGAR!L1058="","",Raw_EDGAR!L1058)</f>
        <v/>
      </c>
      <c r="F25" s="18">
        <f>IF(Raw_EDGAR!M1058="","",Raw_EDGAR!M1058)</f>
        <v/>
      </c>
      <c r="G25" s="18">
        <f>IF(Raw_EDGAR!N1058="","",Raw_EDGAR!N1058)</f>
        <v/>
      </c>
      <c r="H25" s="18">
        <f>IF(Raw_EDGAR!O1058="","",Raw_EDGAR!O1058)</f>
        <v/>
      </c>
      <c r="I25" s="19">
        <f>IF($A25="","",COUNTIF(Raw_EDGAR!$B$1108:$B$1115,"2.04"))</f>
        <v/>
      </c>
      <c r="J25" s="19">
        <f>IF($A25="","",COUNTIF(Raw_EDGAR!$B$1108:$B$1115,"2.06"))</f>
        <v/>
      </c>
      <c r="K25" s="19">
        <f>IF($A25="","",COUNTIF(Raw_EDGAR!$B$1108:$B$1115,"4.02"))</f>
        <v/>
      </c>
      <c r="L25" s="19">
        <f>IF($A25="","",COUNTIF(Raw_EDGAR!$B$1108:$B$1115,"1.03"))</f>
        <v/>
      </c>
      <c r="M25" s="19">
        <f>IF($A25="","",COUNTIF(Raw_EDGAR!$B$1108:$B$1115,"2.02"))</f>
        <v/>
      </c>
      <c r="N25" s="22">
        <f>IF(Raw_EDGAR!$A$1108="","",Raw_EDGAR!$A$1108&amp;"  item "&amp;Raw_EDGAR!$B$1108)</f>
        <v/>
      </c>
    </row>
    <row r="26">
      <c r="A26" s="15">
        <f>IF(_config!$C$42="","",_config!$C$42)</f>
        <v/>
      </c>
      <c r="B26" s="16">
        <f>IF(_config!$B$42="","",_config!$B$42)</f>
        <v/>
      </c>
      <c r="C26" s="17">
        <f>IF(Raw_EDGAR!$D$1118="","",Raw_EDGAR!$D$1118)</f>
        <v/>
      </c>
      <c r="D26" s="18">
        <f>IF(Raw_EDGAR!H1120="","",Raw_EDGAR!H1120/1000000)</f>
        <v/>
      </c>
      <c r="E26" s="18">
        <f>IF(Raw_EDGAR!L1120="","",Raw_EDGAR!L1120)</f>
        <v/>
      </c>
      <c r="F26" s="18">
        <f>IF(Raw_EDGAR!M1120="","",Raw_EDGAR!M1120)</f>
        <v/>
      </c>
      <c r="G26" s="18">
        <f>IF(Raw_EDGAR!N1120="","",Raw_EDGAR!N1120)</f>
        <v/>
      </c>
      <c r="H26" s="18">
        <f>IF(Raw_EDGAR!O1120="","",Raw_EDGAR!O1120)</f>
        <v/>
      </c>
      <c r="I26" s="19">
        <f>IF($A26="","",COUNTIF(Raw_EDGAR!$B$1170:$B$1177,"2.04"))</f>
        <v/>
      </c>
      <c r="J26" s="19">
        <f>IF($A26="","",COUNTIF(Raw_EDGAR!$B$1170:$B$1177,"2.06"))</f>
        <v/>
      </c>
      <c r="K26" s="19">
        <f>IF($A26="","",COUNTIF(Raw_EDGAR!$B$1170:$B$1177,"4.02"))</f>
        <v/>
      </c>
      <c r="L26" s="19">
        <f>IF($A26="","",COUNTIF(Raw_EDGAR!$B$1170:$B$1177,"1.03"))</f>
        <v/>
      </c>
      <c r="M26" s="19">
        <f>IF($A26="","",COUNTIF(Raw_EDGAR!$B$1170:$B$1177,"2.02"))</f>
        <v/>
      </c>
      <c r="N26" s="22">
        <f>IF(Raw_EDGAR!$A$1170="","",Raw_EDGAR!$A$1170&amp;"  item "&amp;Raw_EDGAR!$B$1170)</f>
        <v/>
      </c>
    </row>
    <row r="27">
      <c r="A27" s="15">
        <f>IF(_config!$C$43="","",_config!$C$43)</f>
        <v/>
      </c>
      <c r="B27" s="16">
        <f>IF(_config!$B$43="","",_config!$B$43)</f>
        <v/>
      </c>
      <c r="C27" s="17">
        <f>IF(Raw_EDGAR!$D$1180="","",Raw_EDGAR!$D$1180)</f>
        <v/>
      </c>
      <c r="D27" s="18">
        <f>IF(Raw_EDGAR!H1182="","",Raw_EDGAR!H1182/1000000)</f>
        <v/>
      </c>
      <c r="E27" s="18">
        <f>IF(Raw_EDGAR!L1182="","",Raw_EDGAR!L1182)</f>
        <v/>
      </c>
      <c r="F27" s="18">
        <f>IF(Raw_EDGAR!M1182="","",Raw_EDGAR!M1182)</f>
        <v/>
      </c>
      <c r="G27" s="18">
        <f>IF(Raw_EDGAR!N1182="","",Raw_EDGAR!N1182)</f>
        <v/>
      </c>
      <c r="H27" s="18">
        <f>IF(Raw_EDGAR!O1182="","",Raw_EDGAR!O1182)</f>
        <v/>
      </c>
      <c r="I27" s="19">
        <f>IF($A27="","",COUNTIF(Raw_EDGAR!$B$1232:$B$1239,"2.04"))</f>
        <v/>
      </c>
      <c r="J27" s="19">
        <f>IF($A27="","",COUNTIF(Raw_EDGAR!$B$1232:$B$1239,"2.06"))</f>
        <v/>
      </c>
      <c r="K27" s="19">
        <f>IF($A27="","",COUNTIF(Raw_EDGAR!$B$1232:$B$1239,"4.02"))</f>
        <v/>
      </c>
      <c r="L27" s="19">
        <f>IF($A27="","",COUNTIF(Raw_EDGAR!$B$1232:$B$1239,"1.03"))</f>
        <v/>
      </c>
      <c r="M27" s="19">
        <f>IF($A27="","",COUNTIF(Raw_EDGAR!$B$1232:$B$1239,"2.02"))</f>
        <v/>
      </c>
      <c r="N27" s="22">
        <f>IF(Raw_EDGAR!$A$1232="","",Raw_EDGAR!$A$1232&amp;"  item "&amp;Raw_EDGAR!$B$1232)</f>
        <v/>
      </c>
    </row>
  </sheetData>
  <mergeCells count="11">
    <mergeCell ref="D5:F5"/>
    <mergeCell ref="A5:C5"/>
    <mergeCell ref="G5:I5"/>
    <mergeCell ref="A2:N2"/>
    <mergeCell ref="D4:F4"/>
    <mergeCell ref="D3:F3"/>
    <mergeCell ref="A3:C3"/>
    <mergeCell ref="G3:I3"/>
    <mergeCell ref="G4:I4"/>
    <mergeCell ref="A4:C4"/>
    <mergeCell ref="A1:N1"/>
  </mergeCells>
  <conditionalFormatting sqref="D8:D27">
    <cfRule type="colorScale" priority="1">
      <colorScale>
        <cfvo type="min"/>
        <cfvo type="percentile" val="50"/>
        <cfvo type="max"/>
        <color rgb="00BBD3BD"/>
        <color rgb="00F4F1EC"/>
        <color rgb="00E0A6A6"/>
      </colorScale>
    </cfRule>
  </conditionalFormatting>
  <conditionalFormatting sqref="E8:E27">
    <cfRule type="colorScale" priority="2">
      <colorScale>
        <cfvo type="min"/>
        <cfvo type="percentile" val="50"/>
        <cfvo type="max"/>
        <color rgb="00BBD3BD"/>
        <color rgb="00F4F1EC"/>
        <color rgb="00E0A6A6"/>
      </colorScale>
    </cfRule>
  </conditionalFormatting>
  <conditionalFormatting sqref="F8:F27">
    <cfRule type="colorScale" priority="3">
      <colorScale>
        <cfvo type="min"/>
        <cfvo type="percentile" val="50"/>
        <cfvo type="max"/>
        <color rgb="00BBD3BD"/>
        <color rgb="00F4F1EC"/>
        <color rgb="00E0A6A6"/>
      </colorScale>
    </cfRule>
  </conditionalFormatting>
  <conditionalFormatting sqref="G8:G27">
    <cfRule type="colorScale" priority="4">
      <colorScale>
        <cfvo type="min"/>
        <cfvo type="percentile" val="50"/>
        <cfvo type="max"/>
        <color rgb="00BBD3BD"/>
        <color rgb="00F4F1EC"/>
        <color rgb="00E0A6A6"/>
      </colorScale>
    </cfRule>
  </conditionalFormatting>
  <conditionalFormatting sqref="H8:H27">
    <cfRule type="colorScale" priority="5">
      <colorScale>
        <cfvo type="min"/>
        <cfvo type="percentile" val="50"/>
        <cfvo type="max"/>
        <color rgb="00BBD3BD"/>
        <color rgb="00F4F1EC"/>
        <color rgb="00E0A6A6"/>
      </colorScale>
    </cfRule>
  </conditionalFormatting>
  <conditionalFormatting sqref="I8:I27">
    <cfRule type="expression" priority="6" dxfId="0">
      <formula>AND(ISNUMBER(I8),I8&gt;0)</formula>
    </cfRule>
  </conditionalFormatting>
  <conditionalFormatting sqref="K8:K27">
    <cfRule type="expression" priority="7" dxfId="0">
      <formula>AND(ISNUMBER(K8),K8&gt;0)</formula>
    </cfRule>
  </conditionalFormatting>
  <conditionalFormatting sqref="L8:L27">
    <cfRule type="expression" priority="8" dxfId="0">
      <formula>AND(ISNUMBER(L8),L8&gt;0)</formula>
    </cfRule>
  </conditionalFormatting>
  <pageMargins left="0.75" right="0.75" top="1" bottom="1" header="0.5" footer="0.5"/>
</worksheet>
</file>

<file path=xl/worksheets/sheet3.xml><?xml version="1.0" encoding="utf-8"?>
<worksheet xmlns="http://schemas.openxmlformats.org/spreadsheetml/2006/main">
  <sheetPr>
    <outlinePr summaryBelow="1" summaryRight="1"/>
    <pageSetUpPr/>
  </sheetPr>
  <dimension ref="A1:M26"/>
  <sheetViews>
    <sheetView showGridLines="0" workbookViewId="0">
      <pane ySplit="4" topLeftCell="A5" activePane="bottomLeft" state="frozen"/>
      <selection pane="bottomLeft" activeCell="A1" sqref="A1"/>
    </sheetView>
  </sheetViews>
  <sheetFormatPr baseColWidth="8" defaultRowHeight="15"/>
  <cols>
    <col width="26" customWidth="1" min="1" max="1"/>
    <col width="10" customWidth="1" min="2" max="2"/>
    <col width="15" customWidth="1" min="3" max="3"/>
    <col width="12" customWidth="1" min="4" max="4"/>
    <col width="10" customWidth="1" min="5" max="5"/>
    <col width="10" customWidth="1" min="6" max="6"/>
    <col width="7" customWidth="1" min="7" max="7"/>
    <col width="34" customWidth="1" min="8" max="8"/>
    <col width="12" customWidth="1" min="10" max="10"/>
    <col width="12" customWidth="1" min="11" max="11"/>
    <col width="12" customWidth="1" min="12" max="12"/>
    <col width="12" customWidth="1" min="13" max="13"/>
  </cols>
  <sheetData>
    <row r="1" ht="27.6" customHeight="1">
      <c r="A1" s="1" t="inlineStr">
        <is>
          <t>Watchlist -- Ranked Competitor Banks (Criticized Lane)</t>
        </is>
      </c>
    </row>
    <row r="2" ht="18.4" customHeight="1">
      <c r="A2" s="3" t="inlineStr">
        <is>
          <t>Ranked by (ALERT flag count, criticized ratio) descending. Flag counts aggregate the banded metric statuses (helper columns J-L); any 2.04/4.02/1.03 8-K = automatic WATCH. ig_nig/unmapped families rank as N/A -- never approximated. STALE banks are surfaced by the runner's status line and digest, not here (v1).</t>
        </is>
      </c>
      <c r="B2" s="4" t="n"/>
      <c r="C2" s="4" t="n"/>
      <c r="D2" s="4" t="n"/>
      <c r="E2" s="4" t="n"/>
      <c r="F2" s="4" t="n"/>
      <c r="G2" s="4" t="n"/>
      <c r="H2" s="4" t="n"/>
    </row>
    <row r="3" ht="42" customHeight="1">
      <c r="A3" s="23" t="inlineStr">
        <is>
          <t>ENTITY RULE. This lane admits ONLY rows carrying a genuine SEC CIK join key (cik:NNN from the [PEERS] cik cell, Class A) -- the default-deny validator refuses anything else BY NAME: tickers-as-keys, series names and name-only rows cannot be monitored. Blank/malformed CIK shows REFUSED here; find CIKs with: python runner.py --lookup "&lt;name&gt;" (company_tickers.json). The registrant is the HOLDING COMPANY -- bank-charter (CERT) promotion is a spec change, not a config edit.</t>
        </is>
      </c>
    </row>
    <row r="4" ht="22" customHeight="1">
      <c r="A4" s="12" t="inlineStr">
        <is>
          <t>Bank</t>
        </is>
      </c>
      <c r="B4" s="12" t="inlineStr">
        <is>
          <t>CIK</t>
        </is>
      </c>
      <c r="C4" s="12" t="inlineStr">
        <is>
          <t>Family</t>
        </is>
      </c>
      <c r="D4" s="13" t="inlineStr">
        <is>
          <t>Criticized %</t>
        </is>
      </c>
      <c r="E4" s="13" t="inlineStr">
        <is>
          <t>dQoQ pp</t>
        </is>
      </c>
      <c r="F4" s="14" t="inlineStr">
        <is>
          <t>8-K flags</t>
        </is>
      </c>
      <c r="G4" s="14" t="inlineStr">
        <is>
          <t>Rank</t>
        </is>
      </c>
      <c r="H4" s="14" t="inlineStr">
        <is>
          <t>Status</t>
        </is>
      </c>
      <c r="J4" s="24" t="inlineStr">
        <is>
          <t>criticized_ratio</t>
        </is>
      </c>
      <c r="K4" s="24" t="inlineStr">
        <is>
          <t>crit_qoq_delta</t>
        </is>
      </c>
      <c r="L4" s="24" t="inlineStr">
        <is>
          <t>sm_ratio</t>
        </is>
      </c>
      <c r="M4" s="24" t="inlineStr">
        <is>
          <t>rank score</t>
        </is>
      </c>
    </row>
    <row r="5">
      <c r="A5" s="15">
        <f>IF(_config!$C$24="","",_config!$C$24)</f>
        <v/>
      </c>
      <c r="B5" s="16">
        <f>IF(_config!$B$24="","",_config!$B$24)</f>
        <v/>
      </c>
      <c r="C5" s="17">
        <f>IF(Raw_EDGAR!$D$2="","",Raw_EDGAR!$D$2)</f>
        <v/>
      </c>
      <c r="D5" s="18">
        <f>IF(Raw_EDGAR!$D$2="","",IF(OR(Raw_EDGAR!$D$2="ig_nig",Raw_EDGAR!$D$2="unmapped"),"N/A (family)",IF(Raw_EDGAR!B4="","",Raw_EDGAR!B4)))</f>
        <v/>
      </c>
      <c r="E5" s="18">
        <f>IF(Raw_EDGAR!E4="","",Raw_EDGAR!E4)</f>
        <v/>
      </c>
      <c r="F5" s="19">
        <f>IF($A5="","",COUNTIF(Raw_EDGAR!$B$54:$B$61,"2.04")+COUNTIF(Raw_EDGAR!$B$54:$B$61,"4.02")+COUNTIF(Raw_EDGAR!$B$54:$B$61,"1.03"))</f>
        <v/>
      </c>
      <c r="G5" s="19">
        <f>IF($M5="","",RANK($M5,$M$5:$M$24))</f>
        <v/>
      </c>
      <c r="H5" s="19">
        <f>IF(_config!$C$24="","",IF(NOT(ISNUMBER(_config!$B$24)),"REFUSED: blank/invalid CIK -- run --lookup",IF(UPPER(_config!$E$24&amp;"")&lt;&gt;"TRUE","OFF",IF(Raw_EDGAR!$D$2="","",IF(OR(Raw_EDGAR!$D$2="ig_nig",Raw_EDGAR!$D$2="unmapped"),IF($F5&gt;0,"WATCH","N/A (family)"),IF(COUNTIF($J5:$L5,"ALERT")&gt;0,"ALERT",IF(OR(COUNTIF($J5:$L5,"WATCH")&gt;0,$F5&gt;0),"WATCH","OK")))))))</f>
        <v/>
      </c>
      <c r="J5" s="25">
        <f>IF(NOT(ISNUMBER(Raw_EDGAR!B4)),"",IF(Raw_EDGAR!B4&gt;=_config!$C$17,"ALERT",IF(Raw_EDGAR!B4&gt;=_config!$B$17,"WATCH","OK")))</f>
        <v/>
      </c>
      <c r="K5" s="25">
        <f>IF(NOT(ISNUMBER(Raw_EDGAR!E4)),"",IF(Raw_EDGAR!E4&gt;=_config!$C$18,"ALERT",IF(Raw_EDGAR!E4&gt;=_config!$B$18,"WATCH","OK")))</f>
        <v/>
      </c>
      <c r="L5" s="25">
        <f>IF(NOT(ISNUMBER(Raw_EDGAR!D4)),"",IF(Raw_EDGAR!D4&gt;=_config!$C$19,"ALERT",IF(Raw_EDGAR!D4&gt;=_config!$B$19,"WATCH","OK")))</f>
        <v/>
      </c>
      <c r="M5" s="25">
        <f>IF($A5="","",IF(OR(Raw_EDGAR!$D$2="ig_nig",Raw_EDGAR!$D$2="unmapped"),"",COUNTIF($J5:$L5,"ALERT")*10000+IF(ISNUMBER($D5),$D5,0)))</f>
        <v/>
      </c>
    </row>
    <row r="6">
      <c r="A6" s="15">
        <f>IF(_config!$C$25="","",_config!$C$25)</f>
        <v/>
      </c>
      <c r="B6" s="16">
        <f>IF(_config!$B$25="","",_config!$B$25)</f>
        <v/>
      </c>
      <c r="C6" s="17">
        <f>IF(Raw_EDGAR!$D$64="","",Raw_EDGAR!$D$64)</f>
        <v/>
      </c>
      <c r="D6" s="18">
        <f>IF(Raw_EDGAR!$D$64="","",IF(OR(Raw_EDGAR!$D$64="ig_nig",Raw_EDGAR!$D$64="unmapped"),"N/A (family)",IF(Raw_EDGAR!B66="","",Raw_EDGAR!B66)))</f>
        <v/>
      </c>
      <c r="E6" s="18">
        <f>IF(Raw_EDGAR!E66="","",Raw_EDGAR!E66)</f>
        <v/>
      </c>
      <c r="F6" s="19">
        <f>IF($A6="","",COUNTIF(Raw_EDGAR!$B$116:$B$123,"2.04")+COUNTIF(Raw_EDGAR!$B$116:$B$123,"4.02")+COUNTIF(Raw_EDGAR!$B$116:$B$123,"1.03"))</f>
        <v/>
      </c>
      <c r="G6" s="19">
        <f>IF($M6="","",RANK($M6,$M$5:$M$24))</f>
        <v/>
      </c>
      <c r="H6" s="19">
        <f>IF(_config!$C$25="","",IF(NOT(ISNUMBER(_config!$B$25)),"REFUSED: blank/invalid CIK -- run --lookup",IF(UPPER(_config!$E$25&amp;"")&lt;&gt;"TRUE","OFF",IF(Raw_EDGAR!$D$64="","",IF(OR(Raw_EDGAR!$D$64="ig_nig",Raw_EDGAR!$D$64="unmapped"),IF($F6&gt;0,"WATCH","N/A (family)"),IF(COUNTIF($J6:$L6,"ALERT")&gt;0,"ALERT",IF(OR(COUNTIF($J6:$L6,"WATCH")&gt;0,$F6&gt;0),"WATCH","OK")))))))</f>
        <v/>
      </c>
      <c r="J6" s="25">
        <f>IF(NOT(ISNUMBER(Raw_EDGAR!B66)),"",IF(Raw_EDGAR!B66&gt;=_config!$C$17,"ALERT",IF(Raw_EDGAR!B66&gt;=_config!$B$17,"WATCH","OK")))</f>
        <v/>
      </c>
      <c r="K6" s="25">
        <f>IF(NOT(ISNUMBER(Raw_EDGAR!E66)),"",IF(Raw_EDGAR!E66&gt;=_config!$C$18,"ALERT",IF(Raw_EDGAR!E66&gt;=_config!$B$18,"WATCH","OK")))</f>
        <v/>
      </c>
      <c r="L6" s="25">
        <f>IF(NOT(ISNUMBER(Raw_EDGAR!D66)),"",IF(Raw_EDGAR!D66&gt;=_config!$C$19,"ALERT",IF(Raw_EDGAR!D66&gt;=_config!$B$19,"WATCH","OK")))</f>
        <v/>
      </c>
      <c r="M6" s="25">
        <f>IF($A6="","",IF(OR(Raw_EDGAR!$D$64="ig_nig",Raw_EDGAR!$D$64="unmapped"),"",COUNTIF($J6:$L6,"ALERT")*10000+IF(ISNUMBER($D6),$D6,0)))</f>
        <v/>
      </c>
    </row>
    <row r="7">
      <c r="A7" s="15">
        <f>IF(_config!$C$26="","",_config!$C$26)</f>
        <v/>
      </c>
      <c r="B7" s="16">
        <f>IF(_config!$B$26="","",_config!$B$26)</f>
        <v/>
      </c>
      <c r="C7" s="17">
        <f>IF(Raw_EDGAR!$D$126="","",Raw_EDGAR!$D$126)</f>
        <v/>
      </c>
      <c r="D7" s="18">
        <f>IF(Raw_EDGAR!$D$126="","",IF(OR(Raw_EDGAR!$D$126="ig_nig",Raw_EDGAR!$D$126="unmapped"),"N/A (family)",IF(Raw_EDGAR!B128="","",Raw_EDGAR!B128)))</f>
        <v/>
      </c>
      <c r="E7" s="18">
        <f>IF(Raw_EDGAR!E128="","",Raw_EDGAR!E128)</f>
        <v/>
      </c>
      <c r="F7" s="19">
        <f>IF($A7="","",COUNTIF(Raw_EDGAR!$B$178:$B$185,"2.04")+COUNTIF(Raw_EDGAR!$B$178:$B$185,"4.02")+COUNTIF(Raw_EDGAR!$B$178:$B$185,"1.03"))</f>
        <v/>
      </c>
      <c r="G7" s="19">
        <f>IF($M7="","",RANK($M7,$M$5:$M$24))</f>
        <v/>
      </c>
      <c r="H7" s="19">
        <f>IF(_config!$C$26="","",IF(NOT(ISNUMBER(_config!$B$26)),"REFUSED: blank/invalid CIK -- run --lookup",IF(UPPER(_config!$E$26&amp;"")&lt;&gt;"TRUE","OFF",IF(Raw_EDGAR!$D$126="","",IF(OR(Raw_EDGAR!$D$126="ig_nig",Raw_EDGAR!$D$126="unmapped"),IF($F7&gt;0,"WATCH","N/A (family)"),IF(COUNTIF($J7:$L7,"ALERT")&gt;0,"ALERT",IF(OR(COUNTIF($J7:$L7,"WATCH")&gt;0,$F7&gt;0),"WATCH","OK")))))))</f>
        <v/>
      </c>
      <c r="J7" s="25">
        <f>IF(NOT(ISNUMBER(Raw_EDGAR!B128)),"",IF(Raw_EDGAR!B128&gt;=_config!$C$17,"ALERT",IF(Raw_EDGAR!B128&gt;=_config!$B$17,"WATCH","OK")))</f>
        <v/>
      </c>
      <c r="K7" s="25">
        <f>IF(NOT(ISNUMBER(Raw_EDGAR!E128)),"",IF(Raw_EDGAR!E128&gt;=_config!$C$18,"ALERT",IF(Raw_EDGAR!E128&gt;=_config!$B$18,"WATCH","OK")))</f>
        <v/>
      </c>
      <c r="L7" s="25">
        <f>IF(NOT(ISNUMBER(Raw_EDGAR!D128)),"",IF(Raw_EDGAR!D128&gt;=_config!$C$19,"ALERT",IF(Raw_EDGAR!D128&gt;=_config!$B$19,"WATCH","OK")))</f>
        <v/>
      </c>
      <c r="M7" s="25">
        <f>IF($A7="","",IF(OR(Raw_EDGAR!$D$126="ig_nig",Raw_EDGAR!$D$126="unmapped"),"",COUNTIF($J7:$L7,"ALERT")*10000+IF(ISNUMBER($D7),$D7,0)))</f>
        <v/>
      </c>
    </row>
    <row r="8">
      <c r="A8" s="15">
        <f>IF(_config!$C$27="","",_config!$C$27)</f>
        <v/>
      </c>
      <c r="B8" s="16">
        <f>IF(_config!$B$27="","",_config!$B$27)</f>
        <v/>
      </c>
      <c r="C8" s="17">
        <f>IF(Raw_EDGAR!$D$188="","",Raw_EDGAR!$D$188)</f>
        <v/>
      </c>
      <c r="D8" s="18">
        <f>IF(Raw_EDGAR!$D$188="","",IF(OR(Raw_EDGAR!$D$188="ig_nig",Raw_EDGAR!$D$188="unmapped"),"N/A (family)",IF(Raw_EDGAR!B190="","",Raw_EDGAR!B190)))</f>
        <v/>
      </c>
      <c r="E8" s="18">
        <f>IF(Raw_EDGAR!E190="","",Raw_EDGAR!E190)</f>
        <v/>
      </c>
      <c r="F8" s="19">
        <f>IF($A8="","",COUNTIF(Raw_EDGAR!$B$240:$B$247,"2.04")+COUNTIF(Raw_EDGAR!$B$240:$B$247,"4.02")+COUNTIF(Raw_EDGAR!$B$240:$B$247,"1.03"))</f>
        <v/>
      </c>
      <c r="G8" s="19">
        <f>IF($M8="","",RANK($M8,$M$5:$M$24))</f>
        <v/>
      </c>
      <c r="H8" s="19">
        <f>IF(_config!$C$27="","",IF(NOT(ISNUMBER(_config!$B$27)),"REFUSED: blank/invalid CIK -- run --lookup",IF(UPPER(_config!$E$27&amp;"")&lt;&gt;"TRUE","OFF",IF(Raw_EDGAR!$D$188="","",IF(OR(Raw_EDGAR!$D$188="ig_nig",Raw_EDGAR!$D$188="unmapped"),IF($F8&gt;0,"WATCH","N/A (family)"),IF(COUNTIF($J8:$L8,"ALERT")&gt;0,"ALERT",IF(OR(COUNTIF($J8:$L8,"WATCH")&gt;0,$F8&gt;0),"WATCH","OK")))))))</f>
        <v/>
      </c>
      <c r="J8" s="25">
        <f>IF(NOT(ISNUMBER(Raw_EDGAR!B190)),"",IF(Raw_EDGAR!B190&gt;=_config!$C$17,"ALERT",IF(Raw_EDGAR!B190&gt;=_config!$B$17,"WATCH","OK")))</f>
        <v/>
      </c>
      <c r="K8" s="25">
        <f>IF(NOT(ISNUMBER(Raw_EDGAR!E190)),"",IF(Raw_EDGAR!E190&gt;=_config!$C$18,"ALERT",IF(Raw_EDGAR!E190&gt;=_config!$B$18,"WATCH","OK")))</f>
        <v/>
      </c>
      <c r="L8" s="25">
        <f>IF(NOT(ISNUMBER(Raw_EDGAR!D190)),"",IF(Raw_EDGAR!D190&gt;=_config!$C$19,"ALERT",IF(Raw_EDGAR!D190&gt;=_config!$B$19,"WATCH","OK")))</f>
        <v/>
      </c>
      <c r="M8" s="25">
        <f>IF($A8="","",IF(OR(Raw_EDGAR!$D$188="ig_nig",Raw_EDGAR!$D$188="unmapped"),"",COUNTIF($J8:$L8,"ALERT")*10000+IF(ISNUMBER($D8),$D8,0)))</f>
        <v/>
      </c>
    </row>
    <row r="9">
      <c r="A9" s="15">
        <f>IF(_config!$C$28="","",_config!$C$28)</f>
        <v/>
      </c>
      <c r="B9" s="16">
        <f>IF(_config!$B$28="","",_config!$B$28)</f>
        <v/>
      </c>
      <c r="C9" s="17">
        <f>IF(Raw_EDGAR!$D$250="","",Raw_EDGAR!$D$250)</f>
        <v/>
      </c>
      <c r="D9" s="18">
        <f>IF(Raw_EDGAR!$D$250="","",IF(OR(Raw_EDGAR!$D$250="ig_nig",Raw_EDGAR!$D$250="unmapped"),"N/A (family)",IF(Raw_EDGAR!B252="","",Raw_EDGAR!B252)))</f>
        <v/>
      </c>
      <c r="E9" s="18">
        <f>IF(Raw_EDGAR!E252="","",Raw_EDGAR!E252)</f>
        <v/>
      </c>
      <c r="F9" s="19">
        <f>IF($A9="","",COUNTIF(Raw_EDGAR!$B$302:$B$309,"2.04")+COUNTIF(Raw_EDGAR!$B$302:$B$309,"4.02")+COUNTIF(Raw_EDGAR!$B$302:$B$309,"1.03"))</f>
        <v/>
      </c>
      <c r="G9" s="19">
        <f>IF($M9="","",RANK($M9,$M$5:$M$24))</f>
        <v/>
      </c>
      <c r="H9" s="19">
        <f>IF(_config!$C$28="","",IF(NOT(ISNUMBER(_config!$B$28)),"REFUSED: blank/invalid CIK -- run --lookup",IF(UPPER(_config!$E$28&amp;"")&lt;&gt;"TRUE","OFF",IF(Raw_EDGAR!$D$250="","",IF(OR(Raw_EDGAR!$D$250="ig_nig",Raw_EDGAR!$D$250="unmapped"),IF($F9&gt;0,"WATCH","N/A (family)"),IF(COUNTIF($J9:$L9,"ALERT")&gt;0,"ALERT",IF(OR(COUNTIF($J9:$L9,"WATCH")&gt;0,$F9&gt;0),"WATCH","OK")))))))</f>
        <v/>
      </c>
      <c r="J9" s="25">
        <f>IF(NOT(ISNUMBER(Raw_EDGAR!B252)),"",IF(Raw_EDGAR!B252&gt;=_config!$C$17,"ALERT",IF(Raw_EDGAR!B252&gt;=_config!$B$17,"WATCH","OK")))</f>
        <v/>
      </c>
      <c r="K9" s="25">
        <f>IF(NOT(ISNUMBER(Raw_EDGAR!E252)),"",IF(Raw_EDGAR!E252&gt;=_config!$C$18,"ALERT",IF(Raw_EDGAR!E252&gt;=_config!$B$18,"WATCH","OK")))</f>
        <v/>
      </c>
      <c r="L9" s="25">
        <f>IF(NOT(ISNUMBER(Raw_EDGAR!D252)),"",IF(Raw_EDGAR!D252&gt;=_config!$C$19,"ALERT",IF(Raw_EDGAR!D252&gt;=_config!$B$19,"WATCH","OK")))</f>
        <v/>
      </c>
      <c r="M9" s="25">
        <f>IF($A9="","",IF(OR(Raw_EDGAR!$D$250="ig_nig",Raw_EDGAR!$D$250="unmapped"),"",COUNTIF($J9:$L9,"ALERT")*10000+IF(ISNUMBER($D9),$D9,0)))</f>
        <v/>
      </c>
    </row>
    <row r="10">
      <c r="A10" s="15">
        <f>IF(_config!$C$29="","",_config!$C$29)</f>
        <v/>
      </c>
      <c r="B10" s="16">
        <f>IF(_config!$B$29="","",_config!$B$29)</f>
        <v/>
      </c>
      <c r="C10" s="17">
        <f>IF(Raw_EDGAR!$D$312="","",Raw_EDGAR!$D$312)</f>
        <v/>
      </c>
      <c r="D10" s="18">
        <f>IF(Raw_EDGAR!$D$312="","",IF(OR(Raw_EDGAR!$D$312="ig_nig",Raw_EDGAR!$D$312="unmapped"),"N/A (family)",IF(Raw_EDGAR!B314="","",Raw_EDGAR!B314)))</f>
        <v/>
      </c>
      <c r="E10" s="18">
        <f>IF(Raw_EDGAR!E314="","",Raw_EDGAR!E314)</f>
        <v/>
      </c>
      <c r="F10" s="19">
        <f>IF($A10="","",COUNTIF(Raw_EDGAR!$B$364:$B$371,"2.04")+COUNTIF(Raw_EDGAR!$B$364:$B$371,"4.02")+COUNTIF(Raw_EDGAR!$B$364:$B$371,"1.03"))</f>
        <v/>
      </c>
      <c r="G10" s="19">
        <f>IF($M10="","",RANK($M10,$M$5:$M$24))</f>
        <v/>
      </c>
      <c r="H10" s="19">
        <f>IF(_config!$C$29="","",IF(NOT(ISNUMBER(_config!$B$29)),"REFUSED: blank/invalid CIK -- run --lookup",IF(UPPER(_config!$E$29&amp;"")&lt;&gt;"TRUE","OFF",IF(Raw_EDGAR!$D$312="","",IF(OR(Raw_EDGAR!$D$312="ig_nig",Raw_EDGAR!$D$312="unmapped"),IF($F10&gt;0,"WATCH","N/A (family)"),IF(COUNTIF($J10:$L10,"ALERT")&gt;0,"ALERT",IF(OR(COUNTIF($J10:$L10,"WATCH")&gt;0,$F10&gt;0),"WATCH","OK")))))))</f>
        <v/>
      </c>
      <c r="J10" s="25">
        <f>IF(NOT(ISNUMBER(Raw_EDGAR!B314)),"",IF(Raw_EDGAR!B314&gt;=_config!$C$17,"ALERT",IF(Raw_EDGAR!B314&gt;=_config!$B$17,"WATCH","OK")))</f>
        <v/>
      </c>
      <c r="K10" s="25">
        <f>IF(NOT(ISNUMBER(Raw_EDGAR!E314)),"",IF(Raw_EDGAR!E314&gt;=_config!$C$18,"ALERT",IF(Raw_EDGAR!E314&gt;=_config!$B$18,"WATCH","OK")))</f>
        <v/>
      </c>
      <c r="L10" s="25">
        <f>IF(NOT(ISNUMBER(Raw_EDGAR!D314)),"",IF(Raw_EDGAR!D314&gt;=_config!$C$19,"ALERT",IF(Raw_EDGAR!D314&gt;=_config!$B$19,"WATCH","OK")))</f>
        <v/>
      </c>
      <c r="M10" s="25">
        <f>IF($A10="","",IF(OR(Raw_EDGAR!$D$312="ig_nig",Raw_EDGAR!$D$312="unmapped"),"",COUNTIF($J10:$L10,"ALERT")*10000+IF(ISNUMBER($D10),$D10,0)))</f>
        <v/>
      </c>
    </row>
    <row r="11">
      <c r="A11" s="15">
        <f>IF(_config!$C$30="","",_config!$C$30)</f>
        <v/>
      </c>
      <c r="B11" s="16">
        <f>IF(_config!$B$30="","",_config!$B$30)</f>
        <v/>
      </c>
      <c r="C11" s="17">
        <f>IF(Raw_EDGAR!$D$374="","",Raw_EDGAR!$D$374)</f>
        <v/>
      </c>
      <c r="D11" s="18">
        <f>IF(Raw_EDGAR!$D$374="","",IF(OR(Raw_EDGAR!$D$374="ig_nig",Raw_EDGAR!$D$374="unmapped"),"N/A (family)",IF(Raw_EDGAR!B376="","",Raw_EDGAR!B376)))</f>
        <v/>
      </c>
      <c r="E11" s="18">
        <f>IF(Raw_EDGAR!E376="","",Raw_EDGAR!E376)</f>
        <v/>
      </c>
      <c r="F11" s="19">
        <f>IF($A11="","",COUNTIF(Raw_EDGAR!$B$426:$B$433,"2.04")+COUNTIF(Raw_EDGAR!$B$426:$B$433,"4.02")+COUNTIF(Raw_EDGAR!$B$426:$B$433,"1.03"))</f>
        <v/>
      </c>
      <c r="G11" s="19">
        <f>IF($M11="","",RANK($M11,$M$5:$M$24))</f>
        <v/>
      </c>
      <c r="H11" s="19">
        <f>IF(_config!$C$30="","",IF(NOT(ISNUMBER(_config!$B$30)),"REFUSED: blank/invalid CIK -- run --lookup",IF(UPPER(_config!$E$30&amp;"")&lt;&gt;"TRUE","OFF",IF(Raw_EDGAR!$D$374="","",IF(OR(Raw_EDGAR!$D$374="ig_nig",Raw_EDGAR!$D$374="unmapped"),IF($F11&gt;0,"WATCH","N/A (family)"),IF(COUNTIF($J11:$L11,"ALERT")&gt;0,"ALERT",IF(OR(COUNTIF($J11:$L11,"WATCH")&gt;0,$F11&gt;0),"WATCH","OK")))))))</f>
        <v/>
      </c>
      <c r="J11" s="25">
        <f>IF(NOT(ISNUMBER(Raw_EDGAR!B376)),"",IF(Raw_EDGAR!B376&gt;=_config!$C$17,"ALERT",IF(Raw_EDGAR!B376&gt;=_config!$B$17,"WATCH","OK")))</f>
        <v/>
      </c>
      <c r="K11" s="25">
        <f>IF(NOT(ISNUMBER(Raw_EDGAR!E376)),"",IF(Raw_EDGAR!E376&gt;=_config!$C$18,"ALERT",IF(Raw_EDGAR!E376&gt;=_config!$B$18,"WATCH","OK")))</f>
        <v/>
      </c>
      <c r="L11" s="25">
        <f>IF(NOT(ISNUMBER(Raw_EDGAR!D376)),"",IF(Raw_EDGAR!D376&gt;=_config!$C$19,"ALERT",IF(Raw_EDGAR!D376&gt;=_config!$B$19,"WATCH","OK")))</f>
        <v/>
      </c>
      <c r="M11" s="25">
        <f>IF($A11="","",IF(OR(Raw_EDGAR!$D$374="ig_nig",Raw_EDGAR!$D$374="unmapped"),"",COUNTIF($J11:$L11,"ALERT")*10000+IF(ISNUMBER($D11),$D11,0)))</f>
        <v/>
      </c>
    </row>
    <row r="12">
      <c r="A12" s="15">
        <f>IF(_config!$C$31="","",_config!$C$31)</f>
        <v/>
      </c>
      <c r="B12" s="16">
        <f>IF(_config!$B$31="","",_config!$B$31)</f>
        <v/>
      </c>
      <c r="C12" s="17">
        <f>IF(Raw_EDGAR!$D$436="","",Raw_EDGAR!$D$436)</f>
        <v/>
      </c>
      <c r="D12" s="18">
        <f>IF(Raw_EDGAR!$D$436="","",IF(OR(Raw_EDGAR!$D$436="ig_nig",Raw_EDGAR!$D$436="unmapped"),"N/A (family)",IF(Raw_EDGAR!B438="","",Raw_EDGAR!B438)))</f>
        <v/>
      </c>
      <c r="E12" s="18">
        <f>IF(Raw_EDGAR!E438="","",Raw_EDGAR!E438)</f>
        <v/>
      </c>
      <c r="F12" s="19">
        <f>IF($A12="","",COUNTIF(Raw_EDGAR!$B$488:$B$495,"2.04")+COUNTIF(Raw_EDGAR!$B$488:$B$495,"4.02")+COUNTIF(Raw_EDGAR!$B$488:$B$495,"1.03"))</f>
        <v/>
      </c>
      <c r="G12" s="19">
        <f>IF($M12="","",RANK($M12,$M$5:$M$24))</f>
        <v/>
      </c>
      <c r="H12" s="19">
        <f>IF(_config!$C$31="","",IF(NOT(ISNUMBER(_config!$B$31)),"REFUSED: blank/invalid CIK -- run --lookup",IF(UPPER(_config!$E$31&amp;"")&lt;&gt;"TRUE","OFF",IF(Raw_EDGAR!$D$436="","",IF(OR(Raw_EDGAR!$D$436="ig_nig",Raw_EDGAR!$D$436="unmapped"),IF($F12&gt;0,"WATCH","N/A (family)"),IF(COUNTIF($J12:$L12,"ALERT")&gt;0,"ALERT",IF(OR(COUNTIF($J12:$L12,"WATCH")&gt;0,$F12&gt;0),"WATCH","OK")))))))</f>
        <v/>
      </c>
      <c r="J12" s="25">
        <f>IF(NOT(ISNUMBER(Raw_EDGAR!B438)),"",IF(Raw_EDGAR!B438&gt;=_config!$C$17,"ALERT",IF(Raw_EDGAR!B438&gt;=_config!$B$17,"WATCH","OK")))</f>
        <v/>
      </c>
      <c r="K12" s="25">
        <f>IF(NOT(ISNUMBER(Raw_EDGAR!E438)),"",IF(Raw_EDGAR!E438&gt;=_config!$C$18,"ALERT",IF(Raw_EDGAR!E438&gt;=_config!$B$18,"WATCH","OK")))</f>
        <v/>
      </c>
      <c r="L12" s="25">
        <f>IF(NOT(ISNUMBER(Raw_EDGAR!D438)),"",IF(Raw_EDGAR!D438&gt;=_config!$C$19,"ALERT",IF(Raw_EDGAR!D438&gt;=_config!$B$19,"WATCH","OK")))</f>
        <v/>
      </c>
      <c r="M12" s="25">
        <f>IF($A12="","",IF(OR(Raw_EDGAR!$D$436="ig_nig",Raw_EDGAR!$D$436="unmapped"),"",COUNTIF($J12:$L12,"ALERT")*10000+IF(ISNUMBER($D12),$D12,0)))</f>
        <v/>
      </c>
    </row>
    <row r="13">
      <c r="A13" s="15">
        <f>IF(_config!$C$32="","",_config!$C$32)</f>
        <v/>
      </c>
      <c r="B13" s="16">
        <f>IF(_config!$B$32="","",_config!$B$32)</f>
        <v/>
      </c>
      <c r="C13" s="17">
        <f>IF(Raw_EDGAR!$D$498="","",Raw_EDGAR!$D$498)</f>
        <v/>
      </c>
      <c r="D13" s="18">
        <f>IF(Raw_EDGAR!$D$498="","",IF(OR(Raw_EDGAR!$D$498="ig_nig",Raw_EDGAR!$D$498="unmapped"),"N/A (family)",IF(Raw_EDGAR!B500="","",Raw_EDGAR!B500)))</f>
        <v/>
      </c>
      <c r="E13" s="18">
        <f>IF(Raw_EDGAR!E500="","",Raw_EDGAR!E500)</f>
        <v/>
      </c>
      <c r="F13" s="19">
        <f>IF($A13="","",COUNTIF(Raw_EDGAR!$B$550:$B$557,"2.04")+COUNTIF(Raw_EDGAR!$B$550:$B$557,"4.02")+COUNTIF(Raw_EDGAR!$B$550:$B$557,"1.03"))</f>
        <v/>
      </c>
      <c r="G13" s="19">
        <f>IF($M13="","",RANK($M13,$M$5:$M$24))</f>
        <v/>
      </c>
      <c r="H13" s="19">
        <f>IF(_config!$C$32="","",IF(NOT(ISNUMBER(_config!$B$32)),"REFUSED: blank/invalid CIK -- run --lookup",IF(UPPER(_config!$E$32&amp;"")&lt;&gt;"TRUE","OFF",IF(Raw_EDGAR!$D$498="","",IF(OR(Raw_EDGAR!$D$498="ig_nig",Raw_EDGAR!$D$498="unmapped"),IF($F13&gt;0,"WATCH","N/A (family)"),IF(COUNTIF($J13:$L13,"ALERT")&gt;0,"ALERT",IF(OR(COUNTIF($J13:$L13,"WATCH")&gt;0,$F13&gt;0),"WATCH","OK")))))))</f>
        <v/>
      </c>
      <c r="J13" s="25">
        <f>IF(NOT(ISNUMBER(Raw_EDGAR!B500)),"",IF(Raw_EDGAR!B500&gt;=_config!$C$17,"ALERT",IF(Raw_EDGAR!B500&gt;=_config!$B$17,"WATCH","OK")))</f>
        <v/>
      </c>
      <c r="K13" s="25">
        <f>IF(NOT(ISNUMBER(Raw_EDGAR!E500)),"",IF(Raw_EDGAR!E500&gt;=_config!$C$18,"ALERT",IF(Raw_EDGAR!E500&gt;=_config!$B$18,"WATCH","OK")))</f>
        <v/>
      </c>
      <c r="L13" s="25">
        <f>IF(NOT(ISNUMBER(Raw_EDGAR!D500)),"",IF(Raw_EDGAR!D500&gt;=_config!$C$19,"ALERT",IF(Raw_EDGAR!D500&gt;=_config!$B$19,"WATCH","OK")))</f>
        <v/>
      </c>
      <c r="M13" s="25">
        <f>IF($A13="","",IF(OR(Raw_EDGAR!$D$498="ig_nig",Raw_EDGAR!$D$498="unmapped"),"",COUNTIF($J13:$L13,"ALERT")*10000+IF(ISNUMBER($D13),$D13,0)))</f>
        <v/>
      </c>
    </row>
    <row r="14">
      <c r="A14" s="15">
        <f>IF(_config!$C$33="","",_config!$C$33)</f>
        <v/>
      </c>
      <c r="B14" s="16">
        <f>IF(_config!$B$33="","",_config!$B$33)</f>
        <v/>
      </c>
      <c r="C14" s="17">
        <f>IF(Raw_EDGAR!$D$560="","",Raw_EDGAR!$D$560)</f>
        <v/>
      </c>
      <c r="D14" s="18">
        <f>IF(Raw_EDGAR!$D$560="","",IF(OR(Raw_EDGAR!$D$560="ig_nig",Raw_EDGAR!$D$560="unmapped"),"N/A (family)",IF(Raw_EDGAR!B562="","",Raw_EDGAR!B562)))</f>
        <v/>
      </c>
      <c r="E14" s="18">
        <f>IF(Raw_EDGAR!E562="","",Raw_EDGAR!E562)</f>
        <v/>
      </c>
      <c r="F14" s="19">
        <f>IF($A14="","",COUNTIF(Raw_EDGAR!$B$612:$B$619,"2.04")+COUNTIF(Raw_EDGAR!$B$612:$B$619,"4.02")+COUNTIF(Raw_EDGAR!$B$612:$B$619,"1.03"))</f>
        <v/>
      </c>
      <c r="G14" s="19">
        <f>IF($M14="","",RANK($M14,$M$5:$M$24))</f>
        <v/>
      </c>
      <c r="H14" s="19">
        <f>IF(_config!$C$33="","",IF(NOT(ISNUMBER(_config!$B$33)),"REFUSED: blank/invalid CIK -- run --lookup",IF(UPPER(_config!$E$33&amp;"")&lt;&gt;"TRUE","OFF",IF(Raw_EDGAR!$D$560="","",IF(OR(Raw_EDGAR!$D$560="ig_nig",Raw_EDGAR!$D$560="unmapped"),IF($F14&gt;0,"WATCH","N/A (family)"),IF(COUNTIF($J14:$L14,"ALERT")&gt;0,"ALERT",IF(OR(COUNTIF($J14:$L14,"WATCH")&gt;0,$F14&gt;0),"WATCH","OK")))))))</f>
        <v/>
      </c>
      <c r="J14" s="25">
        <f>IF(NOT(ISNUMBER(Raw_EDGAR!B562)),"",IF(Raw_EDGAR!B562&gt;=_config!$C$17,"ALERT",IF(Raw_EDGAR!B562&gt;=_config!$B$17,"WATCH","OK")))</f>
        <v/>
      </c>
      <c r="K14" s="25">
        <f>IF(NOT(ISNUMBER(Raw_EDGAR!E562)),"",IF(Raw_EDGAR!E562&gt;=_config!$C$18,"ALERT",IF(Raw_EDGAR!E562&gt;=_config!$B$18,"WATCH","OK")))</f>
        <v/>
      </c>
      <c r="L14" s="25">
        <f>IF(NOT(ISNUMBER(Raw_EDGAR!D562)),"",IF(Raw_EDGAR!D562&gt;=_config!$C$19,"ALERT",IF(Raw_EDGAR!D562&gt;=_config!$B$19,"WATCH","OK")))</f>
        <v/>
      </c>
      <c r="M14" s="25">
        <f>IF($A14="","",IF(OR(Raw_EDGAR!$D$560="ig_nig",Raw_EDGAR!$D$560="unmapped"),"",COUNTIF($J14:$L14,"ALERT")*10000+IF(ISNUMBER($D14),$D14,0)))</f>
        <v/>
      </c>
    </row>
    <row r="15">
      <c r="A15" s="15">
        <f>IF(_config!$C$34="","",_config!$C$34)</f>
        <v/>
      </c>
      <c r="B15" s="16">
        <f>IF(_config!$B$34="","",_config!$B$34)</f>
        <v/>
      </c>
      <c r="C15" s="17">
        <f>IF(Raw_EDGAR!$D$622="","",Raw_EDGAR!$D$622)</f>
        <v/>
      </c>
      <c r="D15" s="18">
        <f>IF(Raw_EDGAR!$D$622="","",IF(OR(Raw_EDGAR!$D$622="ig_nig",Raw_EDGAR!$D$622="unmapped"),"N/A (family)",IF(Raw_EDGAR!B624="","",Raw_EDGAR!B624)))</f>
        <v/>
      </c>
      <c r="E15" s="18">
        <f>IF(Raw_EDGAR!E624="","",Raw_EDGAR!E624)</f>
        <v/>
      </c>
      <c r="F15" s="19">
        <f>IF($A15="","",COUNTIF(Raw_EDGAR!$B$674:$B$681,"2.04")+COUNTIF(Raw_EDGAR!$B$674:$B$681,"4.02")+COUNTIF(Raw_EDGAR!$B$674:$B$681,"1.03"))</f>
        <v/>
      </c>
      <c r="G15" s="19">
        <f>IF($M15="","",RANK($M15,$M$5:$M$24))</f>
        <v/>
      </c>
      <c r="H15" s="19">
        <f>IF(_config!$C$34="","",IF(NOT(ISNUMBER(_config!$B$34)),"REFUSED: blank/invalid CIK -- run --lookup",IF(UPPER(_config!$E$34&amp;"")&lt;&gt;"TRUE","OFF",IF(Raw_EDGAR!$D$622="","",IF(OR(Raw_EDGAR!$D$622="ig_nig",Raw_EDGAR!$D$622="unmapped"),IF($F15&gt;0,"WATCH","N/A (family)"),IF(COUNTIF($J15:$L15,"ALERT")&gt;0,"ALERT",IF(OR(COUNTIF($J15:$L15,"WATCH")&gt;0,$F15&gt;0),"WATCH","OK")))))))</f>
        <v/>
      </c>
      <c r="J15" s="25">
        <f>IF(NOT(ISNUMBER(Raw_EDGAR!B624)),"",IF(Raw_EDGAR!B624&gt;=_config!$C$17,"ALERT",IF(Raw_EDGAR!B624&gt;=_config!$B$17,"WATCH","OK")))</f>
        <v/>
      </c>
      <c r="K15" s="25">
        <f>IF(NOT(ISNUMBER(Raw_EDGAR!E624)),"",IF(Raw_EDGAR!E624&gt;=_config!$C$18,"ALERT",IF(Raw_EDGAR!E624&gt;=_config!$B$18,"WATCH","OK")))</f>
        <v/>
      </c>
      <c r="L15" s="25">
        <f>IF(NOT(ISNUMBER(Raw_EDGAR!D624)),"",IF(Raw_EDGAR!D624&gt;=_config!$C$19,"ALERT",IF(Raw_EDGAR!D624&gt;=_config!$B$19,"WATCH","OK")))</f>
        <v/>
      </c>
      <c r="M15" s="25">
        <f>IF($A15="","",IF(OR(Raw_EDGAR!$D$622="ig_nig",Raw_EDGAR!$D$622="unmapped"),"",COUNTIF($J15:$L15,"ALERT")*10000+IF(ISNUMBER($D15),$D15,0)))</f>
        <v/>
      </c>
    </row>
    <row r="16">
      <c r="A16" s="15">
        <f>IF(_config!$C$35="","",_config!$C$35)</f>
        <v/>
      </c>
      <c r="B16" s="16">
        <f>IF(_config!$B$35="","",_config!$B$35)</f>
        <v/>
      </c>
      <c r="C16" s="17">
        <f>IF(Raw_EDGAR!$D$684="","",Raw_EDGAR!$D$684)</f>
        <v/>
      </c>
      <c r="D16" s="18">
        <f>IF(Raw_EDGAR!$D$684="","",IF(OR(Raw_EDGAR!$D$684="ig_nig",Raw_EDGAR!$D$684="unmapped"),"N/A (family)",IF(Raw_EDGAR!B686="","",Raw_EDGAR!B686)))</f>
        <v/>
      </c>
      <c r="E16" s="18">
        <f>IF(Raw_EDGAR!E686="","",Raw_EDGAR!E686)</f>
        <v/>
      </c>
      <c r="F16" s="19">
        <f>IF($A16="","",COUNTIF(Raw_EDGAR!$B$736:$B$743,"2.04")+COUNTIF(Raw_EDGAR!$B$736:$B$743,"4.02")+COUNTIF(Raw_EDGAR!$B$736:$B$743,"1.03"))</f>
        <v/>
      </c>
      <c r="G16" s="19">
        <f>IF($M16="","",RANK($M16,$M$5:$M$24))</f>
        <v/>
      </c>
      <c r="H16" s="19">
        <f>IF(_config!$C$35="","",IF(NOT(ISNUMBER(_config!$B$35)),"REFUSED: blank/invalid CIK -- run --lookup",IF(UPPER(_config!$E$35&amp;"")&lt;&gt;"TRUE","OFF",IF(Raw_EDGAR!$D$684="","",IF(OR(Raw_EDGAR!$D$684="ig_nig",Raw_EDGAR!$D$684="unmapped"),IF($F16&gt;0,"WATCH","N/A (family)"),IF(COUNTIF($J16:$L16,"ALERT")&gt;0,"ALERT",IF(OR(COUNTIF($J16:$L16,"WATCH")&gt;0,$F16&gt;0),"WATCH","OK")))))))</f>
        <v/>
      </c>
      <c r="J16" s="25">
        <f>IF(NOT(ISNUMBER(Raw_EDGAR!B686)),"",IF(Raw_EDGAR!B686&gt;=_config!$C$17,"ALERT",IF(Raw_EDGAR!B686&gt;=_config!$B$17,"WATCH","OK")))</f>
        <v/>
      </c>
      <c r="K16" s="25">
        <f>IF(NOT(ISNUMBER(Raw_EDGAR!E686)),"",IF(Raw_EDGAR!E686&gt;=_config!$C$18,"ALERT",IF(Raw_EDGAR!E686&gt;=_config!$B$18,"WATCH","OK")))</f>
        <v/>
      </c>
      <c r="L16" s="25">
        <f>IF(NOT(ISNUMBER(Raw_EDGAR!D686)),"",IF(Raw_EDGAR!D686&gt;=_config!$C$19,"ALERT",IF(Raw_EDGAR!D686&gt;=_config!$B$19,"WATCH","OK")))</f>
        <v/>
      </c>
      <c r="M16" s="25">
        <f>IF($A16="","",IF(OR(Raw_EDGAR!$D$684="ig_nig",Raw_EDGAR!$D$684="unmapped"),"",COUNTIF($J16:$L16,"ALERT")*10000+IF(ISNUMBER($D16),$D16,0)))</f>
        <v/>
      </c>
    </row>
    <row r="17">
      <c r="A17" s="15">
        <f>IF(_config!$C$36="","",_config!$C$36)</f>
        <v/>
      </c>
      <c r="B17" s="16">
        <f>IF(_config!$B$36="","",_config!$B$36)</f>
        <v/>
      </c>
      <c r="C17" s="17">
        <f>IF(Raw_EDGAR!$D$746="","",Raw_EDGAR!$D$746)</f>
        <v/>
      </c>
      <c r="D17" s="18">
        <f>IF(Raw_EDGAR!$D$746="","",IF(OR(Raw_EDGAR!$D$746="ig_nig",Raw_EDGAR!$D$746="unmapped"),"N/A (family)",IF(Raw_EDGAR!B748="","",Raw_EDGAR!B748)))</f>
        <v/>
      </c>
      <c r="E17" s="18">
        <f>IF(Raw_EDGAR!E748="","",Raw_EDGAR!E748)</f>
        <v/>
      </c>
      <c r="F17" s="19">
        <f>IF($A17="","",COUNTIF(Raw_EDGAR!$B$798:$B$805,"2.04")+COUNTIF(Raw_EDGAR!$B$798:$B$805,"4.02")+COUNTIF(Raw_EDGAR!$B$798:$B$805,"1.03"))</f>
        <v/>
      </c>
      <c r="G17" s="19">
        <f>IF($M17="","",RANK($M17,$M$5:$M$24))</f>
        <v/>
      </c>
      <c r="H17" s="19">
        <f>IF(_config!$C$36="","",IF(NOT(ISNUMBER(_config!$B$36)),"REFUSED: blank/invalid CIK -- run --lookup",IF(UPPER(_config!$E$36&amp;"")&lt;&gt;"TRUE","OFF",IF(Raw_EDGAR!$D$746="","",IF(OR(Raw_EDGAR!$D$746="ig_nig",Raw_EDGAR!$D$746="unmapped"),IF($F17&gt;0,"WATCH","N/A (family)"),IF(COUNTIF($J17:$L17,"ALERT")&gt;0,"ALERT",IF(OR(COUNTIF($J17:$L17,"WATCH")&gt;0,$F17&gt;0),"WATCH","OK")))))))</f>
        <v/>
      </c>
      <c r="J17" s="25">
        <f>IF(NOT(ISNUMBER(Raw_EDGAR!B748)),"",IF(Raw_EDGAR!B748&gt;=_config!$C$17,"ALERT",IF(Raw_EDGAR!B748&gt;=_config!$B$17,"WATCH","OK")))</f>
        <v/>
      </c>
      <c r="K17" s="25">
        <f>IF(NOT(ISNUMBER(Raw_EDGAR!E748)),"",IF(Raw_EDGAR!E748&gt;=_config!$C$18,"ALERT",IF(Raw_EDGAR!E748&gt;=_config!$B$18,"WATCH","OK")))</f>
        <v/>
      </c>
      <c r="L17" s="25">
        <f>IF(NOT(ISNUMBER(Raw_EDGAR!D748)),"",IF(Raw_EDGAR!D748&gt;=_config!$C$19,"ALERT",IF(Raw_EDGAR!D748&gt;=_config!$B$19,"WATCH","OK")))</f>
        <v/>
      </c>
      <c r="M17" s="25">
        <f>IF($A17="","",IF(OR(Raw_EDGAR!$D$746="ig_nig",Raw_EDGAR!$D$746="unmapped"),"",COUNTIF($J17:$L17,"ALERT")*10000+IF(ISNUMBER($D17),$D17,0)))</f>
        <v/>
      </c>
    </row>
    <row r="18">
      <c r="A18" s="15">
        <f>IF(_config!$C$37="","",_config!$C$37)</f>
        <v/>
      </c>
      <c r="B18" s="16">
        <f>IF(_config!$B$37="","",_config!$B$37)</f>
        <v/>
      </c>
      <c r="C18" s="17">
        <f>IF(Raw_EDGAR!$D$808="","",Raw_EDGAR!$D$808)</f>
        <v/>
      </c>
      <c r="D18" s="18">
        <f>IF(Raw_EDGAR!$D$808="","",IF(OR(Raw_EDGAR!$D$808="ig_nig",Raw_EDGAR!$D$808="unmapped"),"N/A (family)",IF(Raw_EDGAR!B810="","",Raw_EDGAR!B810)))</f>
        <v/>
      </c>
      <c r="E18" s="18">
        <f>IF(Raw_EDGAR!E810="","",Raw_EDGAR!E810)</f>
        <v/>
      </c>
      <c r="F18" s="19">
        <f>IF($A18="","",COUNTIF(Raw_EDGAR!$B$860:$B$867,"2.04")+COUNTIF(Raw_EDGAR!$B$860:$B$867,"4.02")+COUNTIF(Raw_EDGAR!$B$860:$B$867,"1.03"))</f>
        <v/>
      </c>
      <c r="G18" s="19">
        <f>IF($M18="","",RANK($M18,$M$5:$M$24))</f>
        <v/>
      </c>
      <c r="H18" s="19">
        <f>IF(_config!$C$37="","",IF(NOT(ISNUMBER(_config!$B$37)),"REFUSED: blank/invalid CIK -- run --lookup",IF(UPPER(_config!$E$37&amp;"")&lt;&gt;"TRUE","OFF",IF(Raw_EDGAR!$D$808="","",IF(OR(Raw_EDGAR!$D$808="ig_nig",Raw_EDGAR!$D$808="unmapped"),IF($F18&gt;0,"WATCH","N/A (family)"),IF(COUNTIF($J18:$L18,"ALERT")&gt;0,"ALERT",IF(OR(COUNTIF($J18:$L18,"WATCH")&gt;0,$F18&gt;0),"WATCH","OK")))))))</f>
        <v/>
      </c>
      <c r="J18" s="25">
        <f>IF(NOT(ISNUMBER(Raw_EDGAR!B810)),"",IF(Raw_EDGAR!B810&gt;=_config!$C$17,"ALERT",IF(Raw_EDGAR!B810&gt;=_config!$B$17,"WATCH","OK")))</f>
        <v/>
      </c>
      <c r="K18" s="25">
        <f>IF(NOT(ISNUMBER(Raw_EDGAR!E810)),"",IF(Raw_EDGAR!E810&gt;=_config!$C$18,"ALERT",IF(Raw_EDGAR!E810&gt;=_config!$B$18,"WATCH","OK")))</f>
        <v/>
      </c>
      <c r="L18" s="25">
        <f>IF(NOT(ISNUMBER(Raw_EDGAR!D810)),"",IF(Raw_EDGAR!D810&gt;=_config!$C$19,"ALERT",IF(Raw_EDGAR!D810&gt;=_config!$B$19,"WATCH","OK")))</f>
        <v/>
      </c>
      <c r="M18" s="25">
        <f>IF($A18="","",IF(OR(Raw_EDGAR!$D$808="ig_nig",Raw_EDGAR!$D$808="unmapped"),"",COUNTIF($J18:$L18,"ALERT")*10000+IF(ISNUMBER($D18),$D18,0)))</f>
        <v/>
      </c>
    </row>
    <row r="19">
      <c r="A19" s="15">
        <f>IF(_config!$C$38="","",_config!$C$38)</f>
        <v/>
      </c>
      <c r="B19" s="16">
        <f>IF(_config!$B$38="","",_config!$B$38)</f>
        <v/>
      </c>
      <c r="C19" s="17">
        <f>IF(Raw_EDGAR!$D$870="","",Raw_EDGAR!$D$870)</f>
        <v/>
      </c>
      <c r="D19" s="18">
        <f>IF(Raw_EDGAR!$D$870="","",IF(OR(Raw_EDGAR!$D$870="ig_nig",Raw_EDGAR!$D$870="unmapped"),"N/A (family)",IF(Raw_EDGAR!B872="","",Raw_EDGAR!B872)))</f>
        <v/>
      </c>
      <c r="E19" s="18">
        <f>IF(Raw_EDGAR!E872="","",Raw_EDGAR!E872)</f>
        <v/>
      </c>
      <c r="F19" s="19">
        <f>IF($A19="","",COUNTIF(Raw_EDGAR!$B$922:$B$929,"2.04")+COUNTIF(Raw_EDGAR!$B$922:$B$929,"4.02")+COUNTIF(Raw_EDGAR!$B$922:$B$929,"1.03"))</f>
        <v/>
      </c>
      <c r="G19" s="19">
        <f>IF($M19="","",RANK($M19,$M$5:$M$24))</f>
        <v/>
      </c>
      <c r="H19" s="19">
        <f>IF(_config!$C$38="","",IF(NOT(ISNUMBER(_config!$B$38)),"REFUSED: blank/invalid CIK -- run --lookup",IF(UPPER(_config!$E$38&amp;"")&lt;&gt;"TRUE","OFF",IF(Raw_EDGAR!$D$870="","",IF(OR(Raw_EDGAR!$D$870="ig_nig",Raw_EDGAR!$D$870="unmapped"),IF($F19&gt;0,"WATCH","N/A (family)"),IF(COUNTIF($J19:$L19,"ALERT")&gt;0,"ALERT",IF(OR(COUNTIF($J19:$L19,"WATCH")&gt;0,$F19&gt;0),"WATCH","OK")))))))</f>
        <v/>
      </c>
      <c r="J19" s="25">
        <f>IF(NOT(ISNUMBER(Raw_EDGAR!B872)),"",IF(Raw_EDGAR!B872&gt;=_config!$C$17,"ALERT",IF(Raw_EDGAR!B872&gt;=_config!$B$17,"WATCH","OK")))</f>
        <v/>
      </c>
      <c r="K19" s="25">
        <f>IF(NOT(ISNUMBER(Raw_EDGAR!E872)),"",IF(Raw_EDGAR!E872&gt;=_config!$C$18,"ALERT",IF(Raw_EDGAR!E872&gt;=_config!$B$18,"WATCH","OK")))</f>
        <v/>
      </c>
      <c r="L19" s="25">
        <f>IF(NOT(ISNUMBER(Raw_EDGAR!D872)),"",IF(Raw_EDGAR!D872&gt;=_config!$C$19,"ALERT",IF(Raw_EDGAR!D872&gt;=_config!$B$19,"WATCH","OK")))</f>
        <v/>
      </c>
      <c r="M19" s="25">
        <f>IF($A19="","",IF(OR(Raw_EDGAR!$D$870="ig_nig",Raw_EDGAR!$D$870="unmapped"),"",COUNTIF($J19:$L19,"ALERT")*10000+IF(ISNUMBER($D19),$D19,0)))</f>
        <v/>
      </c>
    </row>
    <row r="20">
      <c r="A20" s="15">
        <f>IF(_config!$C$39="","",_config!$C$39)</f>
        <v/>
      </c>
      <c r="B20" s="16">
        <f>IF(_config!$B$39="","",_config!$B$39)</f>
        <v/>
      </c>
      <c r="C20" s="17">
        <f>IF(Raw_EDGAR!$D$932="","",Raw_EDGAR!$D$932)</f>
        <v/>
      </c>
      <c r="D20" s="18">
        <f>IF(Raw_EDGAR!$D$932="","",IF(OR(Raw_EDGAR!$D$932="ig_nig",Raw_EDGAR!$D$932="unmapped"),"N/A (family)",IF(Raw_EDGAR!B934="","",Raw_EDGAR!B934)))</f>
        <v/>
      </c>
      <c r="E20" s="18">
        <f>IF(Raw_EDGAR!E934="","",Raw_EDGAR!E934)</f>
        <v/>
      </c>
      <c r="F20" s="19">
        <f>IF($A20="","",COUNTIF(Raw_EDGAR!$B$984:$B$991,"2.04")+COUNTIF(Raw_EDGAR!$B$984:$B$991,"4.02")+COUNTIF(Raw_EDGAR!$B$984:$B$991,"1.03"))</f>
        <v/>
      </c>
      <c r="G20" s="19">
        <f>IF($M20="","",RANK($M20,$M$5:$M$24))</f>
        <v/>
      </c>
      <c r="H20" s="19">
        <f>IF(_config!$C$39="","",IF(NOT(ISNUMBER(_config!$B$39)),"REFUSED: blank/invalid CIK -- run --lookup",IF(UPPER(_config!$E$39&amp;"")&lt;&gt;"TRUE","OFF",IF(Raw_EDGAR!$D$932="","",IF(OR(Raw_EDGAR!$D$932="ig_nig",Raw_EDGAR!$D$932="unmapped"),IF($F20&gt;0,"WATCH","N/A (family)"),IF(COUNTIF($J20:$L20,"ALERT")&gt;0,"ALERT",IF(OR(COUNTIF($J20:$L20,"WATCH")&gt;0,$F20&gt;0),"WATCH","OK")))))))</f>
        <v/>
      </c>
      <c r="J20" s="25">
        <f>IF(NOT(ISNUMBER(Raw_EDGAR!B934)),"",IF(Raw_EDGAR!B934&gt;=_config!$C$17,"ALERT",IF(Raw_EDGAR!B934&gt;=_config!$B$17,"WATCH","OK")))</f>
        <v/>
      </c>
      <c r="K20" s="25">
        <f>IF(NOT(ISNUMBER(Raw_EDGAR!E934)),"",IF(Raw_EDGAR!E934&gt;=_config!$C$18,"ALERT",IF(Raw_EDGAR!E934&gt;=_config!$B$18,"WATCH","OK")))</f>
        <v/>
      </c>
      <c r="L20" s="25">
        <f>IF(NOT(ISNUMBER(Raw_EDGAR!D934)),"",IF(Raw_EDGAR!D934&gt;=_config!$C$19,"ALERT",IF(Raw_EDGAR!D934&gt;=_config!$B$19,"WATCH","OK")))</f>
        <v/>
      </c>
      <c r="M20" s="25">
        <f>IF($A20="","",IF(OR(Raw_EDGAR!$D$932="ig_nig",Raw_EDGAR!$D$932="unmapped"),"",COUNTIF($J20:$L20,"ALERT")*10000+IF(ISNUMBER($D20),$D20,0)))</f>
        <v/>
      </c>
    </row>
    <row r="21">
      <c r="A21" s="15">
        <f>IF(_config!$C$40="","",_config!$C$40)</f>
        <v/>
      </c>
      <c r="B21" s="16">
        <f>IF(_config!$B$40="","",_config!$B$40)</f>
        <v/>
      </c>
      <c r="C21" s="17">
        <f>IF(Raw_EDGAR!$D$994="","",Raw_EDGAR!$D$994)</f>
        <v/>
      </c>
      <c r="D21" s="18">
        <f>IF(Raw_EDGAR!$D$994="","",IF(OR(Raw_EDGAR!$D$994="ig_nig",Raw_EDGAR!$D$994="unmapped"),"N/A (family)",IF(Raw_EDGAR!B996="","",Raw_EDGAR!B996)))</f>
        <v/>
      </c>
      <c r="E21" s="18">
        <f>IF(Raw_EDGAR!E996="","",Raw_EDGAR!E996)</f>
        <v/>
      </c>
      <c r="F21" s="19">
        <f>IF($A21="","",COUNTIF(Raw_EDGAR!$B$1046:$B$1053,"2.04")+COUNTIF(Raw_EDGAR!$B$1046:$B$1053,"4.02")+COUNTIF(Raw_EDGAR!$B$1046:$B$1053,"1.03"))</f>
        <v/>
      </c>
      <c r="G21" s="19">
        <f>IF($M21="","",RANK($M21,$M$5:$M$24))</f>
        <v/>
      </c>
      <c r="H21" s="19">
        <f>IF(_config!$C$40="","",IF(NOT(ISNUMBER(_config!$B$40)),"REFUSED: blank/invalid CIK -- run --lookup",IF(UPPER(_config!$E$40&amp;"")&lt;&gt;"TRUE","OFF",IF(Raw_EDGAR!$D$994="","",IF(OR(Raw_EDGAR!$D$994="ig_nig",Raw_EDGAR!$D$994="unmapped"),IF($F21&gt;0,"WATCH","N/A (family)"),IF(COUNTIF($J21:$L21,"ALERT")&gt;0,"ALERT",IF(OR(COUNTIF($J21:$L21,"WATCH")&gt;0,$F21&gt;0),"WATCH","OK")))))))</f>
        <v/>
      </c>
      <c r="J21" s="25">
        <f>IF(NOT(ISNUMBER(Raw_EDGAR!B996)),"",IF(Raw_EDGAR!B996&gt;=_config!$C$17,"ALERT",IF(Raw_EDGAR!B996&gt;=_config!$B$17,"WATCH","OK")))</f>
        <v/>
      </c>
      <c r="K21" s="25">
        <f>IF(NOT(ISNUMBER(Raw_EDGAR!E996)),"",IF(Raw_EDGAR!E996&gt;=_config!$C$18,"ALERT",IF(Raw_EDGAR!E996&gt;=_config!$B$18,"WATCH","OK")))</f>
        <v/>
      </c>
      <c r="L21" s="25">
        <f>IF(NOT(ISNUMBER(Raw_EDGAR!D996)),"",IF(Raw_EDGAR!D996&gt;=_config!$C$19,"ALERT",IF(Raw_EDGAR!D996&gt;=_config!$B$19,"WATCH","OK")))</f>
        <v/>
      </c>
      <c r="M21" s="25">
        <f>IF($A21="","",IF(OR(Raw_EDGAR!$D$994="ig_nig",Raw_EDGAR!$D$994="unmapped"),"",COUNTIF($J21:$L21,"ALERT")*10000+IF(ISNUMBER($D21),$D21,0)))</f>
        <v/>
      </c>
    </row>
    <row r="22">
      <c r="A22" s="15">
        <f>IF(_config!$C$41="","",_config!$C$41)</f>
        <v/>
      </c>
      <c r="B22" s="16">
        <f>IF(_config!$B$41="","",_config!$B$41)</f>
        <v/>
      </c>
      <c r="C22" s="17">
        <f>IF(Raw_EDGAR!$D$1056="","",Raw_EDGAR!$D$1056)</f>
        <v/>
      </c>
      <c r="D22" s="18">
        <f>IF(Raw_EDGAR!$D$1056="","",IF(OR(Raw_EDGAR!$D$1056="ig_nig",Raw_EDGAR!$D$1056="unmapped"),"N/A (family)",IF(Raw_EDGAR!B1058="","",Raw_EDGAR!B1058)))</f>
        <v/>
      </c>
      <c r="E22" s="18">
        <f>IF(Raw_EDGAR!E1058="","",Raw_EDGAR!E1058)</f>
        <v/>
      </c>
      <c r="F22" s="19">
        <f>IF($A22="","",COUNTIF(Raw_EDGAR!$B$1108:$B$1115,"2.04")+COUNTIF(Raw_EDGAR!$B$1108:$B$1115,"4.02")+COUNTIF(Raw_EDGAR!$B$1108:$B$1115,"1.03"))</f>
        <v/>
      </c>
      <c r="G22" s="19">
        <f>IF($M22="","",RANK($M22,$M$5:$M$24))</f>
        <v/>
      </c>
      <c r="H22" s="19">
        <f>IF(_config!$C$41="","",IF(NOT(ISNUMBER(_config!$B$41)),"REFUSED: blank/invalid CIK -- run --lookup",IF(UPPER(_config!$E$41&amp;"")&lt;&gt;"TRUE","OFF",IF(Raw_EDGAR!$D$1056="","",IF(OR(Raw_EDGAR!$D$1056="ig_nig",Raw_EDGAR!$D$1056="unmapped"),IF($F22&gt;0,"WATCH","N/A (family)"),IF(COUNTIF($J22:$L22,"ALERT")&gt;0,"ALERT",IF(OR(COUNTIF($J22:$L22,"WATCH")&gt;0,$F22&gt;0),"WATCH","OK")))))))</f>
        <v/>
      </c>
      <c r="J22" s="25">
        <f>IF(NOT(ISNUMBER(Raw_EDGAR!B1058)),"",IF(Raw_EDGAR!B1058&gt;=_config!$C$17,"ALERT",IF(Raw_EDGAR!B1058&gt;=_config!$B$17,"WATCH","OK")))</f>
        <v/>
      </c>
      <c r="K22" s="25">
        <f>IF(NOT(ISNUMBER(Raw_EDGAR!E1058)),"",IF(Raw_EDGAR!E1058&gt;=_config!$C$18,"ALERT",IF(Raw_EDGAR!E1058&gt;=_config!$B$18,"WATCH","OK")))</f>
        <v/>
      </c>
      <c r="L22" s="25">
        <f>IF(NOT(ISNUMBER(Raw_EDGAR!D1058)),"",IF(Raw_EDGAR!D1058&gt;=_config!$C$19,"ALERT",IF(Raw_EDGAR!D1058&gt;=_config!$B$19,"WATCH","OK")))</f>
        <v/>
      </c>
      <c r="M22" s="25">
        <f>IF($A22="","",IF(OR(Raw_EDGAR!$D$1056="ig_nig",Raw_EDGAR!$D$1056="unmapped"),"",COUNTIF($J22:$L22,"ALERT")*10000+IF(ISNUMBER($D22),$D22,0)))</f>
        <v/>
      </c>
    </row>
    <row r="23">
      <c r="A23" s="15">
        <f>IF(_config!$C$42="","",_config!$C$42)</f>
        <v/>
      </c>
      <c r="B23" s="16">
        <f>IF(_config!$B$42="","",_config!$B$42)</f>
        <v/>
      </c>
      <c r="C23" s="17">
        <f>IF(Raw_EDGAR!$D$1118="","",Raw_EDGAR!$D$1118)</f>
        <v/>
      </c>
      <c r="D23" s="18">
        <f>IF(Raw_EDGAR!$D$1118="","",IF(OR(Raw_EDGAR!$D$1118="ig_nig",Raw_EDGAR!$D$1118="unmapped"),"N/A (family)",IF(Raw_EDGAR!B1120="","",Raw_EDGAR!B1120)))</f>
        <v/>
      </c>
      <c r="E23" s="18">
        <f>IF(Raw_EDGAR!E1120="","",Raw_EDGAR!E1120)</f>
        <v/>
      </c>
      <c r="F23" s="19">
        <f>IF($A23="","",COUNTIF(Raw_EDGAR!$B$1170:$B$1177,"2.04")+COUNTIF(Raw_EDGAR!$B$1170:$B$1177,"4.02")+COUNTIF(Raw_EDGAR!$B$1170:$B$1177,"1.03"))</f>
        <v/>
      </c>
      <c r="G23" s="19">
        <f>IF($M23="","",RANK($M23,$M$5:$M$24))</f>
        <v/>
      </c>
      <c r="H23" s="19">
        <f>IF(_config!$C$42="","",IF(NOT(ISNUMBER(_config!$B$42)),"REFUSED: blank/invalid CIK -- run --lookup",IF(UPPER(_config!$E$42&amp;"")&lt;&gt;"TRUE","OFF",IF(Raw_EDGAR!$D$1118="","",IF(OR(Raw_EDGAR!$D$1118="ig_nig",Raw_EDGAR!$D$1118="unmapped"),IF($F23&gt;0,"WATCH","N/A (family)"),IF(COUNTIF($J23:$L23,"ALERT")&gt;0,"ALERT",IF(OR(COUNTIF($J23:$L23,"WATCH")&gt;0,$F23&gt;0),"WATCH","OK")))))))</f>
        <v/>
      </c>
      <c r="J23" s="25">
        <f>IF(NOT(ISNUMBER(Raw_EDGAR!B1120)),"",IF(Raw_EDGAR!B1120&gt;=_config!$C$17,"ALERT",IF(Raw_EDGAR!B1120&gt;=_config!$B$17,"WATCH","OK")))</f>
        <v/>
      </c>
      <c r="K23" s="25">
        <f>IF(NOT(ISNUMBER(Raw_EDGAR!E1120)),"",IF(Raw_EDGAR!E1120&gt;=_config!$C$18,"ALERT",IF(Raw_EDGAR!E1120&gt;=_config!$B$18,"WATCH","OK")))</f>
        <v/>
      </c>
      <c r="L23" s="25">
        <f>IF(NOT(ISNUMBER(Raw_EDGAR!D1120)),"",IF(Raw_EDGAR!D1120&gt;=_config!$C$19,"ALERT",IF(Raw_EDGAR!D1120&gt;=_config!$B$19,"WATCH","OK")))</f>
        <v/>
      </c>
      <c r="M23" s="25">
        <f>IF($A23="","",IF(OR(Raw_EDGAR!$D$1118="ig_nig",Raw_EDGAR!$D$1118="unmapped"),"",COUNTIF($J23:$L23,"ALERT")*10000+IF(ISNUMBER($D23),$D23,0)))</f>
        <v/>
      </c>
    </row>
    <row r="24">
      <c r="A24" s="15">
        <f>IF(_config!$C$43="","",_config!$C$43)</f>
        <v/>
      </c>
      <c r="B24" s="16">
        <f>IF(_config!$B$43="","",_config!$B$43)</f>
        <v/>
      </c>
      <c r="C24" s="17">
        <f>IF(Raw_EDGAR!$D$1180="","",Raw_EDGAR!$D$1180)</f>
        <v/>
      </c>
      <c r="D24" s="18">
        <f>IF(Raw_EDGAR!$D$1180="","",IF(OR(Raw_EDGAR!$D$1180="ig_nig",Raw_EDGAR!$D$1180="unmapped"),"N/A (family)",IF(Raw_EDGAR!B1182="","",Raw_EDGAR!B1182)))</f>
        <v/>
      </c>
      <c r="E24" s="18">
        <f>IF(Raw_EDGAR!E1182="","",Raw_EDGAR!E1182)</f>
        <v/>
      </c>
      <c r="F24" s="19">
        <f>IF($A24="","",COUNTIF(Raw_EDGAR!$B$1232:$B$1239,"2.04")+COUNTIF(Raw_EDGAR!$B$1232:$B$1239,"4.02")+COUNTIF(Raw_EDGAR!$B$1232:$B$1239,"1.03"))</f>
        <v/>
      </c>
      <c r="G24" s="19">
        <f>IF($M24="","",RANK($M24,$M$5:$M$24))</f>
        <v/>
      </c>
      <c r="H24" s="19">
        <f>IF(_config!$C$43="","",IF(NOT(ISNUMBER(_config!$B$43)),"REFUSED: blank/invalid CIK -- run --lookup",IF(UPPER(_config!$E$43&amp;"")&lt;&gt;"TRUE","OFF",IF(Raw_EDGAR!$D$1180="","",IF(OR(Raw_EDGAR!$D$1180="ig_nig",Raw_EDGAR!$D$1180="unmapped"),IF($F24&gt;0,"WATCH","N/A (family)"),IF(COUNTIF($J24:$L24,"ALERT")&gt;0,"ALERT",IF(OR(COUNTIF($J24:$L24,"WATCH")&gt;0,$F24&gt;0),"WATCH","OK")))))))</f>
        <v/>
      </c>
      <c r="J24" s="25">
        <f>IF(NOT(ISNUMBER(Raw_EDGAR!B1182)),"",IF(Raw_EDGAR!B1182&gt;=_config!$C$17,"ALERT",IF(Raw_EDGAR!B1182&gt;=_config!$B$17,"WATCH","OK")))</f>
        <v/>
      </c>
      <c r="K24" s="25">
        <f>IF(NOT(ISNUMBER(Raw_EDGAR!E1182)),"",IF(Raw_EDGAR!E1182&gt;=_config!$C$18,"ALERT",IF(Raw_EDGAR!E1182&gt;=_config!$B$18,"WATCH","OK")))</f>
        <v/>
      </c>
      <c r="L24" s="25">
        <f>IF(NOT(ISNUMBER(Raw_EDGAR!D1182)),"",IF(Raw_EDGAR!D1182&gt;=_config!$C$19,"ALERT",IF(Raw_EDGAR!D1182&gt;=_config!$B$19,"WATCH","OK")))</f>
        <v/>
      </c>
      <c r="M24" s="25">
        <f>IF($A24="","",IF(OR(Raw_EDGAR!$D$1180="ig_nig",Raw_EDGAR!$D$1180="unmapped"),"",COUNTIF($J24:$L24,"ALERT")*10000+IF(ISNUMBER($D24),$D24,0)))</f>
        <v/>
      </c>
    </row>
    <row r="26">
      <c r="A26" s="25" t="inlineStr">
        <is>
          <t>Columns J-L are the per-metric status helpers feeding the flag COUNTIFs; column M makes the (ALERT flags, criticized) ordering auditable. Unmapped-member notices and refusals also land in the run digest / email.</t>
        </is>
      </c>
    </row>
  </sheetData>
  <mergeCells count="4">
    <mergeCell ref="A26:H26"/>
    <mergeCell ref="A3:H3"/>
    <mergeCell ref="A2:H2"/>
    <mergeCell ref="A1:H1"/>
  </mergeCells>
  <conditionalFormatting sqref="H5:H24">
    <cfRule type="expression" priority="1" dxfId="0">
      <formula>ISNUMBER(SEARCH("ALERT",H5))</formula>
    </cfRule>
  </conditionalFormatting>
  <conditionalFormatting sqref="D5:D24">
    <cfRule type="colorScale" priority="2">
      <colorScale>
        <cfvo type="min"/>
        <cfvo type="percentile" val="50"/>
        <cfvo type="max"/>
        <color rgb="00BBD3BD"/>
        <color rgb="00F4F1EC"/>
        <color rgb="00E0A6A6"/>
      </colorScale>
    </cfRule>
  </conditionalFormatting>
  <conditionalFormatting sqref="F5:F24">
    <cfRule type="colorScale" priority="3">
      <colorScale>
        <cfvo type="min"/>
        <cfvo type="percentile" val="50"/>
        <cfvo type="max"/>
        <color rgb="00BBD3BD"/>
        <color rgb="00F4F1EC"/>
        <color rgb="00E0A6A6"/>
      </colorScale>
    </cfRule>
  </conditionalFormatting>
  <pageMargins left="0.75" right="0.75" top="1" bottom="1" header="0.5" footer="0.5"/>
</worksheet>
</file>

<file path=xl/worksheets/sheet4.xml><?xml version="1.0" encoding="utf-8"?>
<worksheet xmlns="http://schemas.openxmlformats.org/spreadsheetml/2006/main">
  <sheetPr>
    <outlinePr summaryBelow="1" summaryRight="1"/>
    <pageSetUpPr/>
  </sheetPr>
  <dimension ref="A1:Q1231"/>
  <sheetViews>
    <sheetView showGridLines="0" workbookViewId="0">
      <selection activeCell="A1" sqref="A1"/>
    </sheetView>
  </sheetViews>
  <sheetFormatPr baseColWidth="8" defaultRowHeight="15"/>
  <cols>
    <col width="12" customWidth="1" min="1" max="1"/>
    <col width="13" customWidth="1" min="2" max="2"/>
    <col width="13" customWidth="1" min="3" max="3"/>
    <col width="13" customWidth="1" min="4" max="4"/>
    <col width="13" customWidth="1" min="5" max="5"/>
    <col width="13" customWidth="1" min="6" max="6"/>
    <col width="13" customWidth="1" min="7" max="7"/>
    <col width="13" customWidth="1" min="8" max="8"/>
    <col width="13" customWidth="1" min="9" max="9"/>
    <col width="13" customWidth="1" min="10" max="10"/>
    <col width="13" customWidth="1" min="11" max="11"/>
    <col width="13" customWidth="1" min="12" max="12"/>
    <col width="13" customWidth="1" min="13" max="13"/>
    <col width="13" customWidth="1" min="14" max="14"/>
    <col width="13" customWidth="1" min="15" max="15"/>
    <col width="13" customWidth="1" min="16" max="16"/>
    <col width="13" customWidth="1" min="17" max="17"/>
  </cols>
  <sheetData>
    <row r="1">
      <c r="A1" s="25" t="inlineStr">
        <is>
          <t>Raw_EDGAR -- canonical quarterly rollups + member-level CQI facts + 8-K events per peer slot (EdgarDemoProvider output in --demo), newest first. One block per SLOT: anchors never move when [PEERS] changes. Ratios in percent, amounts in USD. Written by runner.py -- do not edit. Accession + tag recorded per quarter and per fact (contract sec 12).</t>
        </is>
      </c>
    </row>
    <row r="2">
      <c r="A2" s="26" t="inlineStr">
        <is>
          <t>slot01</t>
        </is>
      </c>
    </row>
    <row r="3">
      <c r="A3" s="24" t="inlineStr">
        <is>
          <t>period</t>
        </is>
      </c>
      <c r="B3" s="24" t="inlineStr">
        <is>
          <t>CRIT_RATIO</t>
        </is>
      </c>
      <c r="C3" s="24" t="inlineStr">
        <is>
          <t>CLASS_RATIO</t>
        </is>
      </c>
      <c r="D3" s="24" t="inlineStr">
        <is>
          <t>SM_RATIO</t>
        </is>
      </c>
      <c r="E3" s="24" t="inlineStr">
        <is>
          <t>CRIT_QOQ</t>
        </is>
      </c>
      <c r="F3" s="24" t="inlineStr">
        <is>
          <t>CRIT_YOY</t>
        </is>
      </c>
      <c r="G3" s="24" t="inlineStr">
        <is>
          <t>CRIT_GROWTH</t>
        </is>
      </c>
      <c r="H3" s="24" t="inlineStr">
        <is>
          <t>CRIT_USD</t>
        </is>
      </c>
      <c r="I3" s="24" t="inlineStr">
        <is>
          <t>CLASS_USD</t>
        </is>
      </c>
      <c r="J3" s="24" t="inlineStr">
        <is>
          <t>SM_USD</t>
        </is>
      </c>
      <c r="K3" s="24" t="inlineStr">
        <is>
          <t>TOTAL_COMM_USD</t>
        </is>
      </c>
      <c r="L3" s="24" t="inlineStr">
        <is>
          <t>MIX_CI</t>
        </is>
      </c>
      <c r="M3" s="24" t="inlineStr">
        <is>
          <t>MIX_CRE</t>
        </is>
      </c>
      <c r="N3" s="24" t="inlineStr">
        <is>
          <t>MIX_CONSTR</t>
        </is>
      </c>
      <c r="O3" s="24" t="inlineStr">
        <is>
          <t>MIX_OTHER</t>
        </is>
      </c>
      <c r="P3" s="24" t="inlineStr">
        <is>
          <t>ACCESSION</t>
        </is>
      </c>
      <c r="Q3" s="24" t="inlineStr">
        <is>
          <t>TAG</t>
        </is>
      </c>
    </row>
    <row r="16">
      <c r="A16" s="24" t="inlineStr">
        <is>
          <t>facts: period</t>
        </is>
      </c>
      <c r="B16" s="24" t="inlineStr">
        <is>
          <t>class_qname</t>
        </is>
      </c>
      <c r="C16" s="24" t="inlineStr">
        <is>
          <t>class</t>
        </is>
      </c>
      <c r="D16" s="24" t="inlineStr">
        <is>
          <t>member_qname</t>
        </is>
      </c>
      <c r="E16" s="24" t="inlineStr">
        <is>
          <t>grade</t>
        </is>
      </c>
      <c r="F16" s="24" t="inlineStr">
        <is>
          <t>value_usd</t>
        </is>
      </c>
      <c r="G16" s="24" t="inlineStr">
        <is>
          <t>tag</t>
        </is>
      </c>
      <c r="H16" s="24" t="inlineStr">
        <is>
          <t>accession</t>
        </is>
      </c>
    </row>
    <row r="53">
      <c r="A53" s="24" t="inlineStr">
        <is>
          <t>events: date</t>
        </is>
      </c>
      <c r="B53" s="24" t="inlineStr">
        <is>
          <t>item</t>
        </is>
      </c>
      <c r="C53" s="24" t="inlineStr">
        <is>
          <t>form</t>
        </is>
      </c>
      <c r="D53" s="24" t="inlineStr">
        <is>
          <t>accession</t>
        </is>
      </c>
      <c r="E53" s="24" t="inlineStr">
        <is>
          <t>url</t>
        </is>
      </c>
    </row>
    <row r="64">
      <c r="A64" s="26" t="inlineStr">
        <is>
          <t>slot02</t>
        </is>
      </c>
    </row>
    <row r="65">
      <c r="A65" s="24" t="inlineStr">
        <is>
          <t>period</t>
        </is>
      </c>
      <c r="B65" s="24" t="inlineStr">
        <is>
          <t>CRIT_RATIO</t>
        </is>
      </c>
      <c r="C65" s="24" t="inlineStr">
        <is>
          <t>CLASS_RATIO</t>
        </is>
      </c>
      <c r="D65" s="24" t="inlineStr">
        <is>
          <t>SM_RATIO</t>
        </is>
      </c>
      <c r="E65" s="24" t="inlineStr">
        <is>
          <t>CRIT_QOQ</t>
        </is>
      </c>
      <c r="F65" s="24" t="inlineStr">
        <is>
          <t>CRIT_YOY</t>
        </is>
      </c>
      <c r="G65" s="24" t="inlineStr">
        <is>
          <t>CRIT_GROWTH</t>
        </is>
      </c>
      <c r="H65" s="24" t="inlineStr">
        <is>
          <t>CRIT_USD</t>
        </is>
      </c>
      <c r="I65" s="24" t="inlineStr">
        <is>
          <t>CLASS_USD</t>
        </is>
      </c>
      <c r="J65" s="24" t="inlineStr">
        <is>
          <t>SM_USD</t>
        </is>
      </c>
      <c r="K65" s="24" t="inlineStr">
        <is>
          <t>TOTAL_COMM_USD</t>
        </is>
      </c>
      <c r="L65" s="24" t="inlineStr">
        <is>
          <t>MIX_CI</t>
        </is>
      </c>
      <c r="M65" s="24" t="inlineStr">
        <is>
          <t>MIX_CRE</t>
        </is>
      </c>
      <c r="N65" s="24" t="inlineStr">
        <is>
          <t>MIX_CONSTR</t>
        </is>
      </c>
      <c r="O65" s="24" t="inlineStr">
        <is>
          <t>MIX_OTHER</t>
        </is>
      </c>
      <c r="P65" s="24" t="inlineStr">
        <is>
          <t>ACCESSION</t>
        </is>
      </c>
      <c r="Q65" s="24" t="inlineStr">
        <is>
          <t>TAG</t>
        </is>
      </c>
    </row>
    <row r="78">
      <c r="A78" s="24" t="inlineStr">
        <is>
          <t>facts: period</t>
        </is>
      </c>
      <c r="B78" s="24" t="inlineStr">
        <is>
          <t>class_qname</t>
        </is>
      </c>
      <c r="C78" s="24" t="inlineStr">
        <is>
          <t>class</t>
        </is>
      </c>
      <c r="D78" s="24" t="inlineStr">
        <is>
          <t>member_qname</t>
        </is>
      </c>
      <c r="E78" s="24" t="inlineStr">
        <is>
          <t>grade</t>
        </is>
      </c>
      <c r="F78" s="24" t="inlineStr">
        <is>
          <t>value_usd</t>
        </is>
      </c>
      <c r="G78" s="24" t="inlineStr">
        <is>
          <t>tag</t>
        </is>
      </c>
      <c r="H78" s="24" t="inlineStr">
        <is>
          <t>accession</t>
        </is>
      </c>
    </row>
    <row r="115">
      <c r="A115" s="24" t="inlineStr">
        <is>
          <t>events: date</t>
        </is>
      </c>
      <c r="B115" s="24" t="inlineStr">
        <is>
          <t>item</t>
        </is>
      </c>
      <c r="C115" s="24" t="inlineStr">
        <is>
          <t>form</t>
        </is>
      </c>
      <c r="D115" s="24" t="inlineStr">
        <is>
          <t>accession</t>
        </is>
      </c>
      <c r="E115" s="24" t="inlineStr">
        <is>
          <t>url</t>
        </is>
      </c>
    </row>
    <row r="126">
      <c r="A126" s="26" t="inlineStr">
        <is>
          <t>slot03</t>
        </is>
      </c>
    </row>
    <row r="127">
      <c r="A127" s="24" t="inlineStr">
        <is>
          <t>period</t>
        </is>
      </c>
      <c r="B127" s="24" t="inlineStr">
        <is>
          <t>CRIT_RATIO</t>
        </is>
      </c>
      <c r="C127" s="24" t="inlineStr">
        <is>
          <t>CLASS_RATIO</t>
        </is>
      </c>
      <c r="D127" s="24" t="inlineStr">
        <is>
          <t>SM_RATIO</t>
        </is>
      </c>
      <c r="E127" s="24" t="inlineStr">
        <is>
          <t>CRIT_QOQ</t>
        </is>
      </c>
      <c r="F127" s="24" t="inlineStr">
        <is>
          <t>CRIT_YOY</t>
        </is>
      </c>
      <c r="G127" s="24" t="inlineStr">
        <is>
          <t>CRIT_GROWTH</t>
        </is>
      </c>
      <c r="H127" s="24" t="inlineStr">
        <is>
          <t>CRIT_USD</t>
        </is>
      </c>
      <c r="I127" s="24" t="inlineStr">
        <is>
          <t>CLASS_USD</t>
        </is>
      </c>
      <c r="J127" s="24" t="inlineStr">
        <is>
          <t>SM_USD</t>
        </is>
      </c>
      <c r="K127" s="24" t="inlineStr">
        <is>
          <t>TOTAL_COMM_USD</t>
        </is>
      </c>
      <c r="L127" s="24" t="inlineStr">
        <is>
          <t>MIX_CI</t>
        </is>
      </c>
      <c r="M127" s="24" t="inlineStr">
        <is>
          <t>MIX_CRE</t>
        </is>
      </c>
      <c r="N127" s="24" t="inlineStr">
        <is>
          <t>MIX_CONSTR</t>
        </is>
      </c>
      <c r="O127" s="24" t="inlineStr">
        <is>
          <t>MIX_OTHER</t>
        </is>
      </c>
      <c r="P127" s="24" t="inlineStr">
        <is>
          <t>ACCESSION</t>
        </is>
      </c>
      <c r="Q127" s="24" t="inlineStr">
        <is>
          <t>TAG</t>
        </is>
      </c>
    </row>
    <row r="140">
      <c r="A140" s="24" t="inlineStr">
        <is>
          <t>facts: period</t>
        </is>
      </c>
      <c r="B140" s="24" t="inlineStr">
        <is>
          <t>class_qname</t>
        </is>
      </c>
      <c r="C140" s="24" t="inlineStr">
        <is>
          <t>class</t>
        </is>
      </c>
      <c r="D140" s="24" t="inlineStr">
        <is>
          <t>member_qname</t>
        </is>
      </c>
      <c r="E140" s="24" t="inlineStr">
        <is>
          <t>grade</t>
        </is>
      </c>
      <c r="F140" s="24" t="inlineStr">
        <is>
          <t>value_usd</t>
        </is>
      </c>
      <c r="G140" s="24" t="inlineStr">
        <is>
          <t>tag</t>
        </is>
      </c>
      <c r="H140" s="24" t="inlineStr">
        <is>
          <t>accession</t>
        </is>
      </c>
    </row>
    <row r="177">
      <c r="A177" s="24" t="inlineStr">
        <is>
          <t>events: date</t>
        </is>
      </c>
      <c r="B177" s="24" t="inlineStr">
        <is>
          <t>item</t>
        </is>
      </c>
      <c r="C177" s="24" t="inlineStr">
        <is>
          <t>form</t>
        </is>
      </c>
      <c r="D177" s="24" t="inlineStr">
        <is>
          <t>accession</t>
        </is>
      </c>
      <c r="E177" s="24" t="inlineStr">
        <is>
          <t>url</t>
        </is>
      </c>
    </row>
    <row r="188">
      <c r="A188" s="26" t="inlineStr">
        <is>
          <t>slot04</t>
        </is>
      </c>
    </row>
    <row r="189">
      <c r="A189" s="24" t="inlineStr">
        <is>
          <t>period</t>
        </is>
      </c>
      <c r="B189" s="24" t="inlineStr">
        <is>
          <t>CRIT_RATIO</t>
        </is>
      </c>
      <c r="C189" s="24" t="inlineStr">
        <is>
          <t>CLASS_RATIO</t>
        </is>
      </c>
      <c r="D189" s="24" t="inlineStr">
        <is>
          <t>SM_RATIO</t>
        </is>
      </c>
      <c r="E189" s="24" t="inlineStr">
        <is>
          <t>CRIT_QOQ</t>
        </is>
      </c>
      <c r="F189" s="24" t="inlineStr">
        <is>
          <t>CRIT_YOY</t>
        </is>
      </c>
      <c r="G189" s="24" t="inlineStr">
        <is>
          <t>CRIT_GROWTH</t>
        </is>
      </c>
      <c r="H189" s="24" t="inlineStr">
        <is>
          <t>CRIT_USD</t>
        </is>
      </c>
      <c r="I189" s="24" t="inlineStr">
        <is>
          <t>CLASS_USD</t>
        </is>
      </c>
      <c r="J189" s="24" t="inlineStr">
        <is>
          <t>SM_USD</t>
        </is>
      </c>
      <c r="K189" s="24" t="inlineStr">
        <is>
          <t>TOTAL_COMM_USD</t>
        </is>
      </c>
      <c r="L189" s="24" t="inlineStr">
        <is>
          <t>MIX_CI</t>
        </is>
      </c>
      <c r="M189" s="24" t="inlineStr">
        <is>
          <t>MIX_CRE</t>
        </is>
      </c>
      <c r="N189" s="24" t="inlineStr">
        <is>
          <t>MIX_CONSTR</t>
        </is>
      </c>
      <c r="O189" s="24" t="inlineStr">
        <is>
          <t>MIX_OTHER</t>
        </is>
      </c>
      <c r="P189" s="24" t="inlineStr">
        <is>
          <t>ACCESSION</t>
        </is>
      </c>
      <c r="Q189" s="24" t="inlineStr">
        <is>
          <t>TAG</t>
        </is>
      </c>
    </row>
    <row r="202">
      <c r="A202" s="24" t="inlineStr">
        <is>
          <t>facts: period</t>
        </is>
      </c>
      <c r="B202" s="24" t="inlineStr">
        <is>
          <t>class_qname</t>
        </is>
      </c>
      <c r="C202" s="24" t="inlineStr">
        <is>
          <t>class</t>
        </is>
      </c>
      <c r="D202" s="24" t="inlineStr">
        <is>
          <t>member_qname</t>
        </is>
      </c>
      <c r="E202" s="24" t="inlineStr">
        <is>
          <t>grade</t>
        </is>
      </c>
      <c r="F202" s="24" t="inlineStr">
        <is>
          <t>value_usd</t>
        </is>
      </c>
      <c r="G202" s="24" t="inlineStr">
        <is>
          <t>tag</t>
        </is>
      </c>
      <c r="H202" s="24" t="inlineStr">
        <is>
          <t>accession</t>
        </is>
      </c>
    </row>
    <row r="239">
      <c r="A239" s="24" t="inlineStr">
        <is>
          <t>events: date</t>
        </is>
      </c>
      <c r="B239" s="24" t="inlineStr">
        <is>
          <t>item</t>
        </is>
      </c>
      <c r="C239" s="24" t="inlineStr">
        <is>
          <t>form</t>
        </is>
      </c>
      <c r="D239" s="24" t="inlineStr">
        <is>
          <t>accession</t>
        </is>
      </c>
      <c r="E239" s="24" t="inlineStr">
        <is>
          <t>url</t>
        </is>
      </c>
    </row>
    <row r="250">
      <c r="A250" s="26" t="inlineStr">
        <is>
          <t>slot05</t>
        </is>
      </c>
    </row>
    <row r="251">
      <c r="A251" s="24" t="inlineStr">
        <is>
          <t>period</t>
        </is>
      </c>
      <c r="B251" s="24" t="inlineStr">
        <is>
          <t>CRIT_RATIO</t>
        </is>
      </c>
      <c r="C251" s="24" t="inlineStr">
        <is>
          <t>CLASS_RATIO</t>
        </is>
      </c>
      <c r="D251" s="24" t="inlineStr">
        <is>
          <t>SM_RATIO</t>
        </is>
      </c>
      <c r="E251" s="24" t="inlineStr">
        <is>
          <t>CRIT_QOQ</t>
        </is>
      </c>
      <c r="F251" s="24" t="inlineStr">
        <is>
          <t>CRIT_YOY</t>
        </is>
      </c>
      <c r="G251" s="24" t="inlineStr">
        <is>
          <t>CRIT_GROWTH</t>
        </is>
      </c>
      <c r="H251" s="24" t="inlineStr">
        <is>
          <t>CRIT_USD</t>
        </is>
      </c>
      <c r="I251" s="24" t="inlineStr">
        <is>
          <t>CLASS_USD</t>
        </is>
      </c>
      <c r="J251" s="24" t="inlineStr">
        <is>
          <t>SM_USD</t>
        </is>
      </c>
      <c r="K251" s="24" t="inlineStr">
        <is>
          <t>TOTAL_COMM_USD</t>
        </is>
      </c>
      <c r="L251" s="24" t="inlineStr">
        <is>
          <t>MIX_CI</t>
        </is>
      </c>
      <c r="M251" s="24" t="inlineStr">
        <is>
          <t>MIX_CRE</t>
        </is>
      </c>
      <c r="N251" s="24" t="inlineStr">
        <is>
          <t>MIX_CONSTR</t>
        </is>
      </c>
      <c r="O251" s="24" t="inlineStr">
        <is>
          <t>MIX_OTHER</t>
        </is>
      </c>
      <c r="P251" s="24" t="inlineStr">
        <is>
          <t>ACCESSION</t>
        </is>
      </c>
      <c r="Q251" s="24" t="inlineStr">
        <is>
          <t>TAG</t>
        </is>
      </c>
    </row>
    <row r="264">
      <c r="A264" s="24" t="inlineStr">
        <is>
          <t>facts: period</t>
        </is>
      </c>
      <c r="B264" s="24" t="inlineStr">
        <is>
          <t>class_qname</t>
        </is>
      </c>
      <c r="C264" s="24" t="inlineStr">
        <is>
          <t>class</t>
        </is>
      </c>
      <c r="D264" s="24" t="inlineStr">
        <is>
          <t>member_qname</t>
        </is>
      </c>
      <c r="E264" s="24" t="inlineStr">
        <is>
          <t>grade</t>
        </is>
      </c>
      <c r="F264" s="24" t="inlineStr">
        <is>
          <t>value_usd</t>
        </is>
      </c>
      <c r="G264" s="24" t="inlineStr">
        <is>
          <t>tag</t>
        </is>
      </c>
      <c r="H264" s="24" t="inlineStr">
        <is>
          <t>accession</t>
        </is>
      </c>
    </row>
    <row r="301">
      <c r="A301" s="24" t="inlineStr">
        <is>
          <t>events: date</t>
        </is>
      </c>
      <c r="B301" s="24" t="inlineStr">
        <is>
          <t>item</t>
        </is>
      </c>
      <c r="C301" s="24" t="inlineStr">
        <is>
          <t>form</t>
        </is>
      </c>
      <c r="D301" s="24" t="inlineStr">
        <is>
          <t>accession</t>
        </is>
      </c>
      <c r="E301" s="24" t="inlineStr">
        <is>
          <t>url</t>
        </is>
      </c>
    </row>
    <row r="312">
      <c r="A312" s="26" t="inlineStr">
        <is>
          <t>slot06</t>
        </is>
      </c>
    </row>
    <row r="313">
      <c r="A313" s="24" t="inlineStr">
        <is>
          <t>period</t>
        </is>
      </c>
      <c r="B313" s="24" t="inlineStr">
        <is>
          <t>CRIT_RATIO</t>
        </is>
      </c>
      <c r="C313" s="24" t="inlineStr">
        <is>
          <t>CLASS_RATIO</t>
        </is>
      </c>
      <c r="D313" s="24" t="inlineStr">
        <is>
          <t>SM_RATIO</t>
        </is>
      </c>
      <c r="E313" s="24" t="inlineStr">
        <is>
          <t>CRIT_QOQ</t>
        </is>
      </c>
      <c r="F313" s="24" t="inlineStr">
        <is>
          <t>CRIT_YOY</t>
        </is>
      </c>
      <c r="G313" s="24" t="inlineStr">
        <is>
          <t>CRIT_GROWTH</t>
        </is>
      </c>
      <c r="H313" s="24" t="inlineStr">
        <is>
          <t>CRIT_USD</t>
        </is>
      </c>
      <c r="I313" s="24" t="inlineStr">
        <is>
          <t>CLASS_USD</t>
        </is>
      </c>
      <c r="J313" s="24" t="inlineStr">
        <is>
          <t>SM_USD</t>
        </is>
      </c>
      <c r="K313" s="24" t="inlineStr">
        <is>
          <t>TOTAL_COMM_USD</t>
        </is>
      </c>
      <c r="L313" s="24" t="inlineStr">
        <is>
          <t>MIX_CI</t>
        </is>
      </c>
      <c r="M313" s="24" t="inlineStr">
        <is>
          <t>MIX_CRE</t>
        </is>
      </c>
      <c r="N313" s="24" t="inlineStr">
        <is>
          <t>MIX_CONSTR</t>
        </is>
      </c>
      <c r="O313" s="24" t="inlineStr">
        <is>
          <t>MIX_OTHER</t>
        </is>
      </c>
      <c r="P313" s="24" t="inlineStr">
        <is>
          <t>ACCESSION</t>
        </is>
      </c>
      <c r="Q313" s="24" t="inlineStr">
        <is>
          <t>TAG</t>
        </is>
      </c>
    </row>
    <row r="326">
      <c r="A326" s="24" t="inlineStr">
        <is>
          <t>facts: period</t>
        </is>
      </c>
      <c r="B326" s="24" t="inlineStr">
        <is>
          <t>class_qname</t>
        </is>
      </c>
      <c r="C326" s="24" t="inlineStr">
        <is>
          <t>class</t>
        </is>
      </c>
      <c r="D326" s="24" t="inlineStr">
        <is>
          <t>member_qname</t>
        </is>
      </c>
      <c r="E326" s="24" t="inlineStr">
        <is>
          <t>grade</t>
        </is>
      </c>
      <c r="F326" s="24" t="inlineStr">
        <is>
          <t>value_usd</t>
        </is>
      </c>
      <c r="G326" s="24" t="inlineStr">
        <is>
          <t>tag</t>
        </is>
      </c>
      <c r="H326" s="24" t="inlineStr">
        <is>
          <t>accession</t>
        </is>
      </c>
    </row>
    <row r="363">
      <c r="A363" s="24" t="inlineStr">
        <is>
          <t>events: date</t>
        </is>
      </c>
      <c r="B363" s="24" t="inlineStr">
        <is>
          <t>item</t>
        </is>
      </c>
      <c r="C363" s="24" t="inlineStr">
        <is>
          <t>form</t>
        </is>
      </c>
      <c r="D363" s="24" t="inlineStr">
        <is>
          <t>accession</t>
        </is>
      </c>
      <c r="E363" s="24" t="inlineStr">
        <is>
          <t>url</t>
        </is>
      </c>
    </row>
    <row r="374">
      <c r="A374" s="26" t="inlineStr">
        <is>
          <t>slot07</t>
        </is>
      </c>
    </row>
    <row r="375">
      <c r="A375" s="24" t="inlineStr">
        <is>
          <t>period</t>
        </is>
      </c>
      <c r="B375" s="24" t="inlineStr">
        <is>
          <t>CRIT_RATIO</t>
        </is>
      </c>
      <c r="C375" s="24" t="inlineStr">
        <is>
          <t>CLASS_RATIO</t>
        </is>
      </c>
      <c r="D375" s="24" t="inlineStr">
        <is>
          <t>SM_RATIO</t>
        </is>
      </c>
      <c r="E375" s="24" t="inlineStr">
        <is>
          <t>CRIT_QOQ</t>
        </is>
      </c>
      <c r="F375" s="24" t="inlineStr">
        <is>
          <t>CRIT_YOY</t>
        </is>
      </c>
      <c r="G375" s="24" t="inlineStr">
        <is>
          <t>CRIT_GROWTH</t>
        </is>
      </c>
      <c r="H375" s="24" t="inlineStr">
        <is>
          <t>CRIT_USD</t>
        </is>
      </c>
      <c r="I375" s="24" t="inlineStr">
        <is>
          <t>CLASS_USD</t>
        </is>
      </c>
      <c r="J375" s="24" t="inlineStr">
        <is>
          <t>SM_USD</t>
        </is>
      </c>
      <c r="K375" s="24" t="inlineStr">
        <is>
          <t>TOTAL_COMM_USD</t>
        </is>
      </c>
      <c r="L375" s="24" t="inlineStr">
        <is>
          <t>MIX_CI</t>
        </is>
      </c>
      <c r="M375" s="24" t="inlineStr">
        <is>
          <t>MIX_CRE</t>
        </is>
      </c>
      <c r="N375" s="24" t="inlineStr">
        <is>
          <t>MIX_CONSTR</t>
        </is>
      </c>
      <c r="O375" s="24" t="inlineStr">
        <is>
          <t>MIX_OTHER</t>
        </is>
      </c>
      <c r="P375" s="24" t="inlineStr">
        <is>
          <t>ACCESSION</t>
        </is>
      </c>
      <c r="Q375" s="24" t="inlineStr">
        <is>
          <t>TAG</t>
        </is>
      </c>
    </row>
    <row r="388">
      <c r="A388" s="24" t="inlineStr">
        <is>
          <t>facts: period</t>
        </is>
      </c>
      <c r="B388" s="24" t="inlineStr">
        <is>
          <t>class_qname</t>
        </is>
      </c>
      <c r="C388" s="24" t="inlineStr">
        <is>
          <t>class</t>
        </is>
      </c>
      <c r="D388" s="24" t="inlineStr">
        <is>
          <t>member_qname</t>
        </is>
      </c>
      <c r="E388" s="24" t="inlineStr">
        <is>
          <t>grade</t>
        </is>
      </c>
      <c r="F388" s="24" t="inlineStr">
        <is>
          <t>value_usd</t>
        </is>
      </c>
      <c r="G388" s="24" t="inlineStr">
        <is>
          <t>tag</t>
        </is>
      </c>
      <c r="H388" s="24" t="inlineStr">
        <is>
          <t>accession</t>
        </is>
      </c>
    </row>
    <row r="425">
      <c r="A425" s="24" t="inlineStr">
        <is>
          <t>events: date</t>
        </is>
      </c>
      <c r="B425" s="24" t="inlineStr">
        <is>
          <t>item</t>
        </is>
      </c>
      <c r="C425" s="24" t="inlineStr">
        <is>
          <t>form</t>
        </is>
      </c>
      <c r="D425" s="24" t="inlineStr">
        <is>
          <t>accession</t>
        </is>
      </c>
      <c r="E425" s="24" t="inlineStr">
        <is>
          <t>url</t>
        </is>
      </c>
    </row>
    <row r="436">
      <c r="A436" s="26" t="inlineStr">
        <is>
          <t>slot08</t>
        </is>
      </c>
    </row>
    <row r="437">
      <c r="A437" s="24" t="inlineStr">
        <is>
          <t>period</t>
        </is>
      </c>
      <c r="B437" s="24" t="inlineStr">
        <is>
          <t>CRIT_RATIO</t>
        </is>
      </c>
      <c r="C437" s="24" t="inlineStr">
        <is>
          <t>CLASS_RATIO</t>
        </is>
      </c>
      <c r="D437" s="24" t="inlineStr">
        <is>
          <t>SM_RATIO</t>
        </is>
      </c>
      <c r="E437" s="24" t="inlineStr">
        <is>
          <t>CRIT_QOQ</t>
        </is>
      </c>
      <c r="F437" s="24" t="inlineStr">
        <is>
          <t>CRIT_YOY</t>
        </is>
      </c>
      <c r="G437" s="24" t="inlineStr">
        <is>
          <t>CRIT_GROWTH</t>
        </is>
      </c>
      <c r="H437" s="24" t="inlineStr">
        <is>
          <t>CRIT_USD</t>
        </is>
      </c>
      <c r="I437" s="24" t="inlineStr">
        <is>
          <t>CLASS_USD</t>
        </is>
      </c>
      <c r="J437" s="24" t="inlineStr">
        <is>
          <t>SM_USD</t>
        </is>
      </c>
      <c r="K437" s="24" t="inlineStr">
        <is>
          <t>TOTAL_COMM_USD</t>
        </is>
      </c>
      <c r="L437" s="24" t="inlineStr">
        <is>
          <t>MIX_CI</t>
        </is>
      </c>
      <c r="M437" s="24" t="inlineStr">
        <is>
          <t>MIX_CRE</t>
        </is>
      </c>
      <c r="N437" s="24" t="inlineStr">
        <is>
          <t>MIX_CONSTR</t>
        </is>
      </c>
      <c r="O437" s="24" t="inlineStr">
        <is>
          <t>MIX_OTHER</t>
        </is>
      </c>
      <c r="P437" s="24" t="inlineStr">
        <is>
          <t>ACCESSION</t>
        </is>
      </c>
      <c r="Q437" s="24" t="inlineStr">
        <is>
          <t>TAG</t>
        </is>
      </c>
    </row>
    <row r="450">
      <c r="A450" s="24" t="inlineStr">
        <is>
          <t>facts: period</t>
        </is>
      </c>
      <c r="B450" s="24" t="inlineStr">
        <is>
          <t>class_qname</t>
        </is>
      </c>
      <c r="C450" s="24" t="inlineStr">
        <is>
          <t>class</t>
        </is>
      </c>
      <c r="D450" s="24" t="inlineStr">
        <is>
          <t>member_qname</t>
        </is>
      </c>
      <c r="E450" s="24" t="inlineStr">
        <is>
          <t>grade</t>
        </is>
      </c>
      <c r="F450" s="24" t="inlineStr">
        <is>
          <t>value_usd</t>
        </is>
      </c>
      <c r="G450" s="24" t="inlineStr">
        <is>
          <t>tag</t>
        </is>
      </c>
      <c r="H450" s="24" t="inlineStr">
        <is>
          <t>accession</t>
        </is>
      </c>
    </row>
    <row r="487">
      <c r="A487" s="24" t="inlineStr">
        <is>
          <t>events: date</t>
        </is>
      </c>
      <c r="B487" s="24" t="inlineStr">
        <is>
          <t>item</t>
        </is>
      </c>
      <c r="C487" s="24" t="inlineStr">
        <is>
          <t>form</t>
        </is>
      </c>
      <c r="D487" s="24" t="inlineStr">
        <is>
          <t>accession</t>
        </is>
      </c>
      <c r="E487" s="24" t="inlineStr">
        <is>
          <t>url</t>
        </is>
      </c>
    </row>
    <row r="498">
      <c r="A498" s="26" t="inlineStr">
        <is>
          <t>slot09</t>
        </is>
      </c>
    </row>
    <row r="499">
      <c r="A499" s="24" t="inlineStr">
        <is>
          <t>period</t>
        </is>
      </c>
      <c r="B499" s="24" t="inlineStr">
        <is>
          <t>CRIT_RATIO</t>
        </is>
      </c>
      <c r="C499" s="24" t="inlineStr">
        <is>
          <t>CLASS_RATIO</t>
        </is>
      </c>
      <c r="D499" s="24" t="inlineStr">
        <is>
          <t>SM_RATIO</t>
        </is>
      </c>
      <c r="E499" s="24" t="inlineStr">
        <is>
          <t>CRIT_QOQ</t>
        </is>
      </c>
      <c r="F499" s="24" t="inlineStr">
        <is>
          <t>CRIT_YOY</t>
        </is>
      </c>
      <c r="G499" s="24" t="inlineStr">
        <is>
          <t>CRIT_GROWTH</t>
        </is>
      </c>
      <c r="H499" s="24" t="inlineStr">
        <is>
          <t>CRIT_USD</t>
        </is>
      </c>
      <c r="I499" s="24" t="inlineStr">
        <is>
          <t>CLASS_USD</t>
        </is>
      </c>
      <c r="J499" s="24" t="inlineStr">
        <is>
          <t>SM_USD</t>
        </is>
      </c>
      <c r="K499" s="24" t="inlineStr">
        <is>
          <t>TOTAL_COMM_USD</t>
        </is>
      </c>
      <c r="L499" s="24" t="inlineStr">
        <is>
          <t>MIX_CI</t>
        </is>
      </c>
      <c r="M499" s="24" t="inlineStr">
        <is>
          <t>MIX_CRE</t>
        </is>
      </c>
      <c r="N499" s="24" t="inlineStr">
        <is>
          <t>MIX_CONSTR</t>
        </is>
      </c>
      <c r="O499" s="24" t="inlineStr">
        <is>
          <t>MIX_OTHER</t>
        </is>
      </c>
      <c r="P499" s="24" t="inlineStr">
        <is>
          <t>ACCESSION</t>
        </is>
      </c>
      <c r="Q499" s="24" t="inlineStr">
        <is>
          <t>TAG</t>
        </is>
      </c>
    </row>
    <row r="512">
      <c r="A512" s="24" t="inlineStr">
        <is>
          <t>facts: period</t>
        </is>
      </c>
      <c r="B512" s="24" t="inlineStr">
        <is>
          <t>class_qname</t>
        </is>
      </c>
      <c r="C512" s="24" t="inlineStr">
        <is>
          <t>class</t>
        </is>
      </c>
      <c r="D512" s="24" t="inlineStr">
        <is>
          <t>member_qname</t>
        </is>
      </c>
      <c r="E512" s="24" t="inlineStr">
        <is>
          <t>grade</t>
        </is>
      </c>
      <c r="F512" s="24" t="inlineStr">
        <is>
          <t>value_usd</t>
        </is>
      </c>
      <c r="G512" s="24" t="inlineStr">
        <is>
          <t>tag</t>
        </is>
      </c>
      <c r="H512" s="24" t="inlineStr">
        <is>
          <t>accession</t>
        </is>
      </c>
    </row>
    <row r="549">
      <c r="A549" s="24" t="inlineStr">
        <is>
          <t>events: date</t>
        </is>
      </c>
      <c r="B549" s="24" t="inlineStr">
        <is>
          <t>item</t>
        </is>
      </c>
      <c r="C549" s="24" t="inlineStr">
        <is>
          <t>form</t>
        </is>
      </c>
      <c r="D549" s="24" t="inlineStr">
        <is>
          <t>accession</t>
        </is>
      </c>
      <c r="E549" s="24" t="inlineStr">
        <is>
          <t>url</t>
        </is>
      </c>
    </row>
    <row r="560">
      <c r="A560" s="26" t="inlineStr">
        <is>
          <t>slot10</t>
        </is>
      </c>
    </row>
    <row r="561">
      <c r="A561" s="24" t="inlineStr">
        <is>
          <t>period</t>
        </is>
      </c>
      <c r="B561" s="24" t="inlineStr">
        <is>
          <t>CRIT_RATIO</t>
        </is>
      </c>
      <c r="C561" s="24" t="inlineStr">
        <is>
          <t>CLASS_RATIO</t>
        </is>
      </c>
      <c r="D561" s="24" t="inlineStr">
        <is>
          <t>SM_RATIO</t>
        </is>
      </c>
      <c r="E561" s="24" t="inlineStr">
        <is>
          <t>CRIT_QOQ</t>
        </is>
      </c>
      <c r="F561" s="24" t="inlineStr">
        <is>
          <t>CRIT_YOY</t>
        </is>
      </c>
      <c r="G561" s="24" t="inlineStr">
        <is>
          <t>CRIT_GROWTH</t>
        </is>
      </c>
      <c r="H561" s="24" t="inlineStr">
        <is>
          <t>CRIT_USD</t>
        </is>
      </c>
      <c r="I561" s="24" t="inlineStr">
        <is>
          <t>CLASS_USD</t>
        </is>
      </c>
      <c r="J561" s="24" t="inlineStr">
        <is>
          <t>SM_USD</t>
        </is>
      </c>
      <c r="K561" s="24" t="inlineStr">
        <is>
          <t>TOTAL_COMM_USD</t>
        </is>
      </c>
      <c r="L561" s="24" t="inlineStr">
        <is>
          <t>MIX_CI</t>
        </is>
      </c>
      <c r="M561" s="24" t="inlineStr">
        <is>
          <t>MIX_CRE</t>
        </is>
      </c>
      <c r="N561" s="24" t="inlineStr">
        <is>
          <t>MIX_CONSTR</t>
        </is>
      </c>
      <c r="O561" s="24" t="inlineStr">
        <is>
          <t>MIX_OTHER</t>
        </is>
      </c>
      <c r="P561" s="24" t="inlineStr">
        <is>
          <t>ACCESSION</t>
        </is>
      </c>
      <c r="Q561" s="24" t="inlineStr">
        <is>
          <t>TAG</t>
        </is>
      </c>
    </row>
    <row r="574">
      <c r="A574" s="24" t="inlineStr">
        <is>
          <t>facts: period</t>
        </is>
      </c>
      <c r="B574" s="24" t="inlineStr">
        <is>
          <t>class_qname</t>
        </is>
      </c>
      <c r="C574" s="24" t="inlineStr">
        <is>
          <t>class</t>
        </is>
      </c>
      <c r="D574" s="24" t="inlineStr">
        <is>
          <t>member_qname</t>
        </is>
      </c>
      <c r="E574" s="24" t="inlineStr">
        <is>
          <t>grade</t>
        </is>
      </c>
      <c r="F574" s="24" t="inlineStr">
        <is>
          <t>value_usd</t>
        </is>
      </c>
      <c r="G574" s="24" t="inlineStr">
        <is>
          <t>tag</t>
        </is>
      </c>
      <c r="H574" s="24" t="inlineStr">
        <is>
          <t>accession</t>
        </is>
      </c>
    </row>
    <row r="611">
      <c r="A611" s="24" t="inlineStr">
        <is>
          <t>events: date</t>
        </is>
      </c>
      <c r="B611" s="24" t="inlineStr">
        <is>
          <t>item</t>
        </is>
      </c>
      <c r="C611" s="24" t="inlineStr">
        <is>
          <t>form</t>
        </is>
      </c>
      <c r="D611" s="24" t="inlineStr">
        <is>
          <t>accession</t>
        </is>
      </c>
      <c r="E611" s="24" t="inlineStr">
        <is>
          <t>url</t>
        </is>
      </c>
    </row>
    <row r="622">
      <c r="A622" s="26" t="inlineStr">
        <is>
          <t>slot11</t>
        </is>
      </c>
    </row>
    <row r="623">
      <c r="A623" s="24" t="inlineStr">
        <is>
          <t>period</t>
        </is>
      </c>
      <c r="B623" s="24" t="inlineStr">
        <is>
          <t>CRIT_RATIO</t>
        </is>
      </c>
      <c r="C623" s="24" t="inlineStr">
        <is>
          <t>CLASS_RATIO</t>
        </is>
      </c>
      <c r="D623" s="24" t="inlineStr">
        <is>
          <t>SM_RATIO</t>
        </is>
      </c>
      <c r="E623" s="24" t="inlineStr">
        <is>
          <t>CRIT_QOQ</t>
        </is>
      </c>
      <c r="F623" s="24" t="inlineStr">
        <is>
          <t>CRIT_YOY</t>
        </is>
      </c>
      <c r="G623" s="24" t="inlineStr">
        <is>
          <t>CRIT_GROWTH</t>
        </is>
      </c>
      <c r="H623" s="24" t="inlineStr">
        <is>
          <t>CRIT_USD</t>
        </is>
      </c>
      <c r="I623" s="24" t="inlineStr">
        <is>
          <t>CLASS_USD</t>
        </is>
      </c>
      <c r="J623" s="24" t="inlineStr">
        <is>
          <t>SM_USD</t>
        </is>
      </c>
      <c r="K623" s="24" t="inlineStr">
        <is>
          <t>TOTAL_COMM_USD</t>
        </is>
      </c>
      <c r="L623" s="24" t="inlineStr">
        <is>
          <t>MIX_CI</t>
        </is>
      </c>
      <c r="M623" s="24" t="inlineStr">
        <is>
          <t>MIX_CRE</t>
        </is>
      </c>
      <c r="N623" s="24" t="inlineStr">
        <is>
          <t>MIX_CONSTR</t>
        </is>
      </c>
      <c r="O623" s="24" t="inlineStr">
        <is>
          <t>MIX_OTHER</t>
        </is>
      </c>
      <c r="P623" s="24" t="inlineStr">
        <is>
          <t>ACCESSION</t>
        </is>
      </c>
      <c r="Q623" s="24" t="inlineStr">
        <is>
          <t>TAG</t>
        </is>
      </c>
    </row>
    <row r="636">
      <c r="A636" s="24" t="inlineStr">
        <is>
          <t>facts: period</t>
        </is>
      </c>
      <c r="B636" s="24" t="inlineStr">
        <is>
          <t>class_qname</t>
        </is>
      </c>
      <c r="C636" s="24" t="inlineStr">
        <is>
          <t>class</t>
        </is>
      </c>
      <c r="D636" s="24" t="inlineStr">
        <is>
          <t>member_qname</t>
        </is>
      </c>
      <c r="E636" s="24" t="inlineStr">
        <is>
          <t>grade</t>
        </is>
      </c>
      <c r="F636" s="24" t="inlineStr">
        <is>
          <t>value_usd</t>
        </is>
      </c>
      <c r="G636" s="24" t="inlineStr">
        <is>
          <t>tag</t>
        </is>
      </c>
      <c r="H636" s="24" t="inlineStr">
        <is>
          <t>accession</t>
        </is>
      </c>
    </row>
    <row r="673">
      <c r="A673" s="24" t="inlineStr">
        <is>
          <t>events: date</t>
        </is>
      </c>
      <c r="B673" s="24" t="inlineStr">
        <is>
          <t>item</t>
        </is>
      </c>
      <c r="C673" s="24" t="inlineStr">
        <is>
          <t>form</t>
        </is>
      </c>
      <c r="D673" s="24" t="inlineStr">
        <is>
          <t>accession</t>
        </is>
      </c>
      <c r="E673" s="24" t="inlineStr">
        <is>
          <t>url</t>
        </is>
      </c>
    </row>
    <row r="684">
      <c r="A684" s="26" t="inlineStr">
        <is>
          <t>slot12</t>
        </is>
      </c>
    </row>
    <row r="685">
      <c r="A685" s="24" t="inlineStr">
        <is>
          <t>period</t>
        </is>
      </c>
      <c r="B685" s="24" t="inlineStr">
        <is>
          <t>CRIT_RATIO</t>
        </is>
      </c>
      <c r="C685" s="24" t="inlineStr">
        <is>
          <t>CLASS_RATIO</t>
        </is>
      </c>
      <c r="D685" s="24" t="inlineStr">
        <is>
          <t>SM_RATIO</t>
        </is>
      </c>
      <c r="E685" s="24" t="inlineStr">
        <is>
          <t>CRIT_QOQ</t>
        </is>
      </c>
      <c r="F685" s="24" t="inlineStr">
        <is>
          <t>CRIT_YOY</t>
        </is>
      </c>
      <c r="G685" s="24" t="inlineStr">
        <is>
          <t>CRIT_GROWTH</t>
        </is>
      </c>
      <c r="H685" s="24" t="inlineStr">
        <is>
          <t>CRIT_USD</t>
        </is>
      </c>
      <c r="I685" s="24" t="inlineStr">
        <is>
          <t>CLASS_USD</t>
        </is>
      </c>
      <c r="J685" s="24" t="inlineStr">
        <is>
          <t>SM_USD</t>
        </is>
      </c>
      <c r="K685" s="24" t="inlineStr">
        <is>
          <t>TOTAL_COMM_USD</t>
        </is>
      </c>
      <c r="L685" s="24" t="inlineStr">
        <is>
          <t>MIX_CI</t>
        </is>
      </c>
      <c r="M685" s="24" t="inlineStr">
        <is>
          <t>MIX_CRE</t>
        </is>
      </c>
      <c r="N685" s="24" t="inlineStr">
        <is>
          <t>MIX_CONSTR</t>
        </is>
      </c>
      <c r="O685" s="24" t="inlineStr">
        <is>
          <t>MIX_OTHER</t>
        </is>
      </c>
      <c r="P685" s="24" t="inlineStr">
        <is>
          <t>ACCESSION</t>
        </is>
      </c>
      <c r="Q685" s="24" t="inlineStr">
        <is>
          <t>TAG</t>
        </is>
      </c>
    </row>
    <row r="698">
      <c r="A698" s="24" t="inlineStr">
        <is>
          <t>facts: period</t>
        </is>
      </c>
      <c r="B698" s="24" t="inlineStr">
        <is>
          <t>class_qname</t>
        </is>
      </c>
      <c r="C698" s="24" t="inlineStr">
        <is>
          <t>class</t>
        </is>
      </c>
      <c r="D698" s="24" t="inlineStr">
        <is>
          <t>member_qname</t>
        </is>
      </c>
      <c r="E698" s="24" t="inlineStr">
        <is>
          <t>grade</t>
        </is>
      </c>
      <c r="F698" s="24" t="inlineStr">
        <is>
          <t>value_usd</t>
        </is>
      </c>
      <c r="G698" s="24" t="inlineStr">
        <is>
          <t>tag</t>
        </is>
      </c>
      <c r="H698" s="24" t="inlineStr">
        <is>
          <t>accession</t>
        </is>
      </c>
    </row>
    <row r="735">
      <c r="A735" s="24" t="inlineStr">
        <is>
          <t>events: date</t>
        </is>
      </c>
      <c r="B735" s="24" t="inlineStr">
        <is>
          <t>item</t>
        </is>
      </c>
      <c r="C735" s="24" t="inlineStr">
        <is>
          <t>form</t>
        </is>
      </c>
      <c r="D735" s="24" t="inlineStr">
        <is>
          <t>accession</t>
        </is>
      </c>
      <c r="E735" s="24" t="inlineStr">
        <is>
          <t>url</t>
        </is>
      </c>
    </row>
    <row r="746">
      <c r="A746" s="26" t="inlineStr">
        <is>
          <t>slot13</t>
        </is>
      </c>
    </row>
    <row r="747">
      <c r="A747" s="24" t="inlineStr">
        <is>
          <t>period</t>
        </is>
      </c>
      <c r="B747" s="24" t="inlineStr">
        <is>
          <t>CRIT_RATIO</t>
        </is>
      </c>
      <c r="C747" s="24" t="inlineStr">
        <is>
          <t>CLASS_RATIO</t>
        </is>
      </c>
      <c r="D747" s="24" t="inlineStr">
        <is>
          <t>SM_RATIO</t>
        </is>
      </c>
      <c r="E747" s="24" t="inlineStr">
        <is>
          <t>CRIT_QOQ</t>
        </is>
      </c>
      <c r="F747" s="24" t="inlineStr">
        <is>
          <t>CRIT_YOY</t>
        </is>
      </c>
      <c r="G747" s="24" t="inlineStr">
        <is>
          <t>CRIT_GROWTH</t>
        </is>
      </c>
      <c r="H747" s="24" t="inlineStr">
        <is>
          <t>CRIT_USD</t>
        </is>
      </c>
      <c r="I747" s="24" t="inlineStr">
        <is>
          <t>CLASS_USD</t>
        </is>
      </c>
      <c r="J747" s="24" t="inlineStr">
        <is>
          <t>SM_USD</t>
        </is>
      </c>
      <c r="K747" s="24" t="inlineStr">
        <is>
          <t>TOTAL_COMM_USD</t>
        </is>
      </c>
      <c r="L747" s="24" t="inlineStr">
        <is>
          <t>MIX_CI</t>
        </is>
      </c>
      <c r="M747" s="24" t="inlineStr">
        <is>
          <t>MIX_CRE</t>
        </is>
      </c>
      <c r="N747" s="24" t="inlineStr">
        <is>
          <t>MIX_CONSTR</t>
        </is>
      </c>
      <c r="O747" s="24" t="inlineStr">
        <is>
          <t>MIX_OTHER</t>
        </is>
      </c>
      <c r="P747" s="24" t="inlineStr">
        <is>
          <t>ACCESSION</t>
        </is>
      </c>
      <c r="Q747" s="24" t="inlineStr">
        <is>
          <t>TAG</t>
        </is>
      </c>
    </row>
    <row r="760">
      <c r="A760" s="24" t="inlineStr">
        <is>
          <t>facts: period</t>
        </is>
      </c>
      <c r="B760" s="24" t="inlineStr">
        <is>
          <t>class_qname</t>
        </is>
      </c>
      <c r="C760" s="24" t="inlineStr">
        <is>
          <t>class</t>
        </is>
      </c>
      <c r="D760" s="24" t="inlineStr">
        <is>
          <t>member_qname</t>
        </is>
      </c>
      <c r="E760" s="24" t="inlineStr">
        <is>
          <t>grade</t>
        </is>
      </c>
      <c r="F760" s="24" t="inlineStr">
        <is>
          <t>value_usd</t>
        </is>
      </c>
      <c r="G760" s="24" t="inlineStr">
        <is>
          <t>tag</t>
        </is>
      </c>
      <c r="H760" s="24" t="inlineStr">
        <is>
          <t>accession</t>
        </is>
      </c>
    </row>
    <row r="797">
      <c r="A797" s="24" t="inlineStr">
        <is>
          <t>events: date</t>
        </is>
      </c>
      <c r="B797" s="24" t="inlineStr">
        <is>
          <t>item</t>
        </is>
      </c>
      <c r="C797" s="24" t="inlineStr">
        <is>
          <t>form</t>
        </is>
      </c>
      <c r="D797" s="24" t="inlineStr">
        <is>
          <t>accession</t>
        </is>
      </c>
      <c r="E797" s="24" t="inlineStr">
        <is>
          <t>url</t>
        </is>
      </c>
    </row>
    <row r="808">
      <c r="A808" s="26" t="inlineStr">
        <is>
          <t>slot14</t>
        </is>
      </c>
    </row>
    <row r="809">
      <c r="A809" s="24" t="inlineStr">
        <is>
          <t>period</t>
        </is>
      </c>
      <c r="B809" s="24" t="inlineStr">
        <is>
          <t>CRIT_RATIO</t>
        </is>
      </c>
      <c r="C809" s="24" t="inlineStr">
        <is>
          <t>CLASS_RATIO</t>
        </is>
      </c>
      <c r="D809" s="24" t="inlineStr">
        <is>
          <t>SM_RATIO</t>
        </is>
      </c>
      <c r="E809" s="24" t="inlineStr">
        <is>
          <t>CRIT_QOQ</t>
        </is>
      </c>
      <c r="F809" s="24" t="inlineStr">
        <is>
          <t>CRIT_YOY</t>
        </is>
      </c>
      <c r="G809" s="24" t="inlineStr">
        <is>
          <t>CRIT_GROWTH</t>
        </is>
      </c>
      <c r="H809" s="24" t="inlineStr">
        <is>
          <t>CRIT_USD</t>
        </is>
      </c>
      <c r="I809" s="24" t="inlineStr">
        <is>
          <t>CLASS_USD</t>
        </is>
      </c>
      <c r="J809" s="24" t="inlineStr">
        <is>
          <t>SM_USD</t>
        </is>
      </c>
      <c r="K809" s="24" t="inlineStr">
        <is>
          <t>TOTAL_COMM_USD</t>
        </is>
      </c>
      <c r="L809" s="24" t="inlineStr">
        <is>
          <t>MIX_CI</t>
        </is>
      </c>
      <c r="M809" s="24" t="inlineStr">
        <is>
          <t>MIX_CRE</t>
        </is>
      </c>
      <c r="N809" s="24" t="inlineStr">
        <is>
          <t>MIX_CONSTR</t>
        </is>
      </c>
      <c r="O809" s="24" t="inlineStr">
        <is>
          <t>MIX_OTHER</t>
        </is>
      </c>
      <c r="P809" s="24" t="inlineStr">
        <is>
          <t>ACCESSION</t>
        </is>
      </c>
      <c r="Q809" s="24" t="inlineStr">
        <is>
          <t>TAG</t>
        </is>
      </c>
    </row>
    <row r="822">
      <c r="A822" s="24" t="inlineStr">
        <is>
          <t>facts: period</t>
        </is>
      </c>
      <c r="B822" s="24" t="inlineStr">
        <is>
          <t>class_qname</t>
        </is>
      </c>
      <c r="C822" s="24" t="inlineStr">
        <is>
          <t>class</t>
        </is>
      </c>
      <c r="D822" s="24" t="inlineStr">
        <is>
          <t>member_qname</t>
        </is>
      </c>
      <c r="E822" s="24" t="inlineStr">
        <is>
          <t>grade</t>
        </is>
      </c>
      <c r="F822" s="24" t="inlineStr">
        <is>
          <t>value_usd</t>
        </is>
      </c>
      <c r="G822" s="24" t="inlineStr">
        <is>
          <t>tag</t>
        </is>
      </c>
      <c r="H822" s="24" t="inlineStr">
        <is>
          <t>accession</t>
        </is>
      </c>
    </row>
    <row r="859">
      <c r="A859" s="24" t="inlineStr">
        <is>
          <t>events: date</t>
        </is>
      </c>
      <c r="B859" s="24" t="inlineStr">
        <is>
          <t>item</t>
        </is>
      </c>
      <c r="C859" s="24" t="inlineStr">
        <is>
          <t>form</t>
        </is>
      </c>
      <c r="D859" s="24" t="inlineStr">
        <is>
          <t>accession</t>
        </is>
      </c>
      <c r="E859" s="24" t="inlineStr">
        <is>
          <t>url</t>
        </is>
      </c>
    </row>
    <row r="870">
      <c r="A870" s="26" t="inlineStr">
        <is>
          <t>slot15</t>
        </is>
      </c>
    </row>
    <row r="871">
      <c r="A871" s="24" t="inlineStr">
        <is>
          <t>period</t>
        </is>
      </c>
      <c r="B871" s="24" t="inlineStr">
        <is>
          <t>CRIT_RATIO</t>
        </is>
      </c>
      <c r="C871" s="24" t="inlineStr">
        <is>
          <t>CLASS_RATIO</t>
        </is>
      </c>
      <c r="D871" s="24" t="inlineStr">
        <is>
          <t>SM_RATIO</t>
        </is>
      </c>
      <c r="E871" s="24" t="inlineStr">
        <is>
          <t>CRIT_QOQ</t>
        </is>
      </c>
      <c r="F871" s="24" t="inlineStr">
        <is>
          <t>CRIT_YOY</t>
        </is>
      </c>
      <c r="G871" s="24" t="inlineStr">
        <is>
          <t>CRIT_GROWTH</t>
        </is>
      </c>
      <c r="H871" s="24" t="inlineStr">
        <is>
          <t>CRIT_USD</t>
        </is>
      </c>
      <c r="I871" s="24" t="inlineStr">
        <is>
          <t>CLASS_USD</t>
        </is>
      </c>
      <c r="J871" s="24" t="inlineStr">
        <is>
          <t>SM_USD</t>
        </is>
      </c>
      <c r="K871" s="24" t="inlineStr">
        <is>
          <t>TOTAL_COMM_USD</t>
        </is>
      </c>
      <c r="L871" s="24" t="inlineStr">
        <is>
          <t>MIX_CI</t>
        </is>
      </c>
      <c r="M871" s="24" t="inlineStr">
        <is>
          <t>MIX_CRE</t>
        </is>
      </c>
      <c r="N871" s="24" t="inlineStr">
        <is>
          <t>MIX_CONSTR</t>
        </is>
      </c>
      <c r="O871" s="24" t="inlineStr">
        <is>
          <t>MIX_OTHER</t>
        </is>
      </c>
      <c r="P871" s="24" t="inlineStr">
        <is>
          <t>ACCESSION</t>
        </is>
      </c>
      <c r="Q871" s="24" t="inlineStr">
        <is>
          <t>TAG</t>
        </is>
      </c>
    </row>
    <row r="884">
      <c r="A884" s="24" t="inlineStr">
        <is>
          <t>facts: period</t>
        </is>
      </c>
      <c r="B884" s="24" t="inlineStr">
        <is>
          <t>class_qname</t>
        </is>
      </c>
      <c r="C884" s="24" t="inlineStr">
        <is>
          <t>class</t>
        </is>
      </c>
      <c r="D884" s="24" t="inlineStr">
        <is>
          <t>member_qname</t>
        </is>
      </c>
      <c r="E884" s="24" t="inlineStr">
        <is>
          <t>grade</t>
        </is>
      </c>
      <c r="F884" s="24" t="inlineStr">
        <is>
          <t>value_usd</t>
        </is>
      </c>
      <c r="G884" s="24" t="inlineStr">
        <is>
          <t>tag</t>
        </is>
      </c>
      <c r="H884" s="24" t="inlineStr">
        <is>
          <t>accession</t>
        </is>
      </c>
    </row>
    <row r="921">
      <c r="A921" s="24" t="inlineStr">
        <is>
          <t>events: date</t>
        </is>
      </c>
      <c r="B921" s="24" t="inlineStr">
        <is>
          <t>item</t>
        </is>
      </c>
      <c r="C921" s="24" t="inlineStr">
        <is>
          <t>form</t>
        </is>
      </c>
      <c r="D921" s="24" t="inlineStr">
        <is>
          <t>accession</t>
        </is>
      </c>
      <c r="E921" s="24" t="inlineStr">
        <is>
          <t>url</t>
        </is>
      </c>
    </row>
    <row r="932">
      <c r="A932" s="26" t="inlineStr">
        <is>
          <t>slot16</t>
        </is>
      </c>
    </row>
    <row r="933">
      <c r="A933" s="24" t="inlineStr">
        <is>
          <t>period</t>
        </is>
      </c>
      <c r="B933" s="24" t="inlineStr">
        <is>
          <t>CRIT_RATIO</t>
        </is>
      </c>
      <c r="C933" s="24" t="inlineStr">
        <is>
          <t>CLASS_RATIO</t>
        </is>
      </c>
      <c r="D933" s="24" t="inlineStr">
        <is>
          <t>SM_RATIO</t>
        </is>
      </c>
      <c r="E933" s="24" t="inlineStr">
        <is>
          <t>CRIT_QOQ</t>
        </is>
      </c>
      <c r="F933" s="24" t="inlineStr">
        <is>
          <t>CRIT_YOY</t>
        </is>
      </c>
      <c r="G933" s="24" t="inlineStr">
        <is>
          <t>CRIT_GROWTH</t>
        </is>
      </c>
      <c r="H933" s="24" t="inlineStr">
        <is>
          <t>CRIT_USD</t>
        </is>
      </c>
      <c r="I933" s="24" t="inlineStr">
        <is>
          <t>CLASS_USD</t>
        </is>
      </c>
      <c r="J933" s="24" t="inlineStr">
        <is>
          <t>SM_USD</t>
        </is>
      </c>
      <c r="K933" s="24" t="inlineStr">
        <is>
          <t>TOTAL_COMM_USD</t>
        </is>
      </c>
      <c r="L933" s="24" t="inlineStr">
        <is>
          <t>MIX_CI</t>
        </is>
      </c>
      <c r="M933" s="24" t="inlineStr">
        <is>
          <t>MIX_CRE</t>
        </is>
      </c>
      <c r="N933" s="24" t="inlineStr">
        <is>
          <t>MIX_CONSTR</t>
        </is>
      </c>
      <c r="O933" s="24" t="inlineStr">
        <is>
          <t>MIX_OTHER</t>
        </is>
      </c>
      <c r="P933" s="24" t="inlineStr">
        <is>
          <t>ACCESSION</t>
        </is>
      </c>
      <c r="Q933" s="24" t="inlineStr">
        <is>
          <t>TAG</t>
        </is>
      </c>
    </row>
    <row r="946">
      <c r="A946" s="24" t="inlineStr">
        <is>
          <t>facts: period</t>
        </is>
      </c>
      <c r="B946" s="24" t="inlineStr">
        <is>
          <t>class_qname</t>
        </is>
      </c>
      <c r="C946" s="24" t="inlineStr">
        <is>
          <t>class</t>
        </is>
      </c>
      <c r="D946" s="24" t="inlineStr">
        <is>
          <t>member_qname</t>
        </is>
      </c>
      <c r="E946" s="24" t="inlineStr">
        <is>
          <t>grade</t>
        </is>
      </c>
      <c r="F946" s="24" t="inlineStr">
        <is>
          <t>value_usd</t>
        </is>
      </c>
      <c r="G946" s="24" t="inlineStr">
        <is>
          <t>tag</t>
        </is>
      </c>
      <c r="H946" s="24" t="inlineStr">
        <is>
          <t>accession</t>
        </is>
      </c>
    </row>
    <row r="983">
      <c r="A983" s="24" t="inlineStr">
        <is>
          <t>events: date</t>
        </is>
      </c>
      <c r="B983" s="24" t="inlineStr">
        <is>
          <t>item</t>
        </is>
      </c>
      <c r="C983" s="24" t="inlineStr">
        <is>
          <t>form</t>
        </is>
      </c>
      <c r="D983" s="24" t="inlineStr">
        <is>
          <t>accession</t>
        </is>
      </c>
      <c r="E983" s="24" t="inlineStr">
        <is>
          <t>url</t>
        </is>
      </c>
    </row>
    <row r="994">
      <c r="A994" s="26" t="inlineStr">
        <is>
          <t>slot17</t>
        </is>
      </c>
    </row>
    <row r="995">
      <c r="A995" s="24" t="inlineStr">
        <is>
          <t>period</t>
        </is>
      </c>
      <c r="B995" s="24" t="inlineStr">
        <is>
          <t>CRIT_RATIO</t>
        </is>
      </c>
      <c r="C995" s="24" t="inlineStr">
        <is>
          <t>CLASS_RATIO</t>
        </is>
      </c>
      <c r="D995" s="24" t="inlineStr">
        <is>
          <t>SM_RATIO</t>
        </is>
      </c>
      <c r="E995" s="24" t="inlineStr">
        <is>
          <t>CRIT_QOQ</t>
        </is>
      </c>
      <c r="F995" s="24" t="inlineStr">
        <is>
          <t>CRIT_YOY</t>
        </is>
      </c>
      <c r="G995" s="24" t="inlineStr">
        <is>
          <t>CRIT_GROWTH</t>
        </is>
      </c>
      <c r="H995" s="24" t="inlineStr">
        <is>
          <t>CRIT_USD</t>
        </is>
      </c>
      <c r="I995" s="24" t="inlineStr">
        <is>
          <t>CLASS_USD</t>
        </is>
      </c>
      <c r="J995" s="24" t="inlineStr">
        <is>
          <t>SM_USD</t>
        </is>
      </c>
      <c r="K995" s="24" t="inlineStr">
        <is>
          <t>TOTAL_COMM_USD</t>
        </is>
      </c>
      <c r="L995" s="24" t="inlineStr">
        <is>
          <t>MIX_CI</t>
        </is>
      </c>
      <c r="M995" s="24" t="inlineStr">
        <is>
          <t>MIX_CRE</t>
        </is>
      </c>
      <c r="N995" s="24" t="inlineStr">
        <is>
          <t>MIX_CONSTR</t>
        </is>
      </c>
      <c r="O995" s="24" t="inlineStr">
        <is>
          <t>MIX_OTHER</t>
        </is>
      </c>
      <c r="P995" s="24" t="inlineStr">
        <is>
          <t>ACCESSION</t>
        </is>
      </c>
      <c r="Q995" s="24" t="inlineStr">
        <is>
          <t>TAG</t>
        </is>
      </c>
    </row>
    <row r="1008">
      <c r="A1008" s="24" t="inlineStr">
        <is>
          <t>facts: period</t>
        </is>
      </c>
      <c r="B1008" s="24" t="inlineStr">
        <is>
          <t>class_qname</t>
        </is>
      </c>
      <c r="C1008" s="24" t="inlineStr">
        <is>
          <t>class</t>
        </is>
      </c>
      <c r="D1008" s="24" t="inlineStr">
        <is>
          <t>member_qname</t>
        </is>
      </c>
      <c r="E1008" s="24" t="inlineStr">
        <is>
          <t>grade</t>
        </is>
      </c>
      <c r="F1008" s="24" t="inlineStr">
        <is>
          <t>value_usd</t>
        </is>
      </c>
      <c r="G1008" s="24" t="inlineStr">
        <is>
          <t>tag</t>
        </is>
      </c>
      <c r="H1008" s="24" t="inlineStr">
        <is>
          <t>accession</t>
        </is>
      </c>
    </row>
    <row r="1045">
      <c r="A1045" s="24" t="inlineStr">
        <is>
          <t>events: date</t>
        </is>
      </c>
      <c r="B1045" s="24" t="inlineStr">
        <is>
          <t>item</t>
        </is>
      </c>
      <c r="C1045" s="24" t="inlineStr">
        <is>
          <t>form</t>
        </is>
      </c>
      <c r="D1045" s="24" t="inlineStr">
        <is>
          <t>accession</t>
        </is>
      </c>
      <c r="E1045" s="24" t="inlineStr">
        <is>
          <t>url</t>
        </is>
      </c>
    </row>
    <row r="1056">
      <c r="A1056" s="26" t="inlineStr">
        <is>
          <t>slot18</t>
        </is>
      </c>
    </row>
    <row r="1057">
      <c r="A1057" s="24" t="inlineStr">
        <is>
          <t>period</t>
        </is>
      </c>
      <c r="B1057" s="24" t="inlineStr">
        <is>
          <t>CRIT_RATIO</t>
        </is>
      </c>
      <c r="C1057" s="24" t="inlineStr">
        <is>
          <t>CLASS_RATIO</t>
        </is>
      </c>
      <c r="D1057" s="24" t="inlineStr">
        <is>
          <t>SM_RATIO</t>
        </is>
      </c>
      <c r="E1057" s="24" t="inlineStr">
        <is>
          <t>CRIT_QOQ</t>
        </is>
      </c>
      <c r="F1057" s="24" t="inlineStr">
        <is>
          <t>CRIT_YOY</t>
        </is>
      </c>
      <c r="G1057" s="24" t="inlineStr">
        <is>
          <t>CRIT_GROWTH</t>
        </is>
      </c>
      <c r="H1057" s="24" t="inlineStr">
        <is>
          <t>CRIT_USD</t>
        </is>
      </c>
      <c r="I1057" s="24" t="inlineStr">
        <is>
          <t>CLASS_USD</t>
        </is>
      </c>
      <c r="J1057" s="24" t="inlineStr">
        <is>
          <t>SM_USD</t>
        </is>
      </c>
      <c r="K1057" s="24" t="inlineStr">
        <is>
          <t>TOTAL_COMM_USD</t>
        </is>
      </c>
      <c r="L1057" s="24" t="inlineStr">
        <is>
          <t>MIX_CI</t>
        </is>
      </c>
      <c r="M1057" s="24" t="inlineStr">
        <is>
          <t>MIX_CRE</t>
        </is>
      </c>
      <c r="N1057" s="24" t="inlineStr">
        <is>
          <t>MIX_CONSTR</t>
        </is>
      </c>
      <c r="O1057" s="24" t="inlineStr">
        <is>
          <t>MIX_OTHER</t>
        </is>
      </c>
      <c r="P1057" s="24" t="inlineStr">
        <is>
          <t>ACCESSION</t>
        </is>
      </c>
      <c r="Q1057" s="24" t="inlineStr">
        <is>
          <t>TAG</t>
        </is>
      </c>
    </row>
    <row r="1070">
      <c r="A1070" s="24" t="inlineStr">
        <is>
          <t>facts: period</t>
        </is>
      </c>
      <c r="B1070" s="24" t="inlineStr">
        <is>
          <t>class_qname</t>
        </is>
      </c>
      <c r="C1070" s="24" t="inlineStr">
        <is>
          <t>class</t>
        </is>
      </c>
      <c r="D1070" s="24" t="inlineStr">
        <is>
          <t>member_qname</t>
        </is>
      </c>
      <c r="E1070" s="24" t="inlineStr">
        <is>
          <t>grade</t>
        </is>
      </c>
      <c r="F1070" s="24" t="inlineStr">
        <is>
          <t>value_usd</t>
        </is>
      </c>
      <c r="G1070" s="24" t="inlineStr">
        <is>
          <t>tag</t>
        </is>
      </c>
      <c r="H1070" s="24" t="inlineStr">
        <is>
          <t>accession</t>
        </is>
      </c>
    </row>
    <row r="1107">
      <c r="A1107" s="24" t="inlineStr">
        <is>
          <t>events: date</t>
        </is>
      </c>
      <c r="B1107" s="24" t="inlineStr">
        <is>
          <t>item</t>
        </is>
      </c>
      <c r="C1107" s="24" t="inlineStr">
        <is>
          <t>form</t>
        </is>
      </c>
      <c r="D1107" s="24" t="inlineStr">
        <is>
          <t>accession</t>
        </is>
      </c>
      <c r="E1107" s="24" t="inlineStr">
        <is>
          <t>url</t>
        </is>
      </c>
    </row>
    <row r="1118">
      <c r="A1118" s="26" t="inlineStr">
        <is>
          <t>slot19</t>
        </is>
      </c>
    </row>
    <row r="1119">
      <c r="A1119" s="24" t="inlineStr">
        <is>
          <t>period</t>
        </is>
      </c>
      <c r="B1119" s="24" t="inlineStr">
        <is>
          <t>CRIT_RATIO</t>
        </is>
      </c>
      <c r="C1119" s="24" t="inlineStr">
        <is>
          <t>CLASS_RATIO</t>
        </is>
      </c>
      <c r="D1119" s="24" t="inlineStr">
        <is>
          <t>SM_RATIO</t>
        </is>
      </c>
      <c r="E1119" s="24" t="inlineStr">
        <is>
          <t>CRIT_QOQ</t>
        </is>
      </c>
      <c r="F1119" s="24" t="inlineStr">
        <is>
          <t>CRIT_YOY</t>
        </is>
      </c>
      <c r="G1119" s="24" t="inlineStr">
        <is>
          <t>CRIT_GROWTH</t>
        </is>
      </c>
      <c r="H1119" s="24" t="inlineStr">
        <is>
          <t>CRIT_USD</t>
        </is>
      </c>
      <c r="I1119" s="24" t="inlineStr">
        <is>
          <t>CLASS_USD</t>
        </is>
      </c>
      <c r="J1119" s="24" t="inlineStr">
        <is>
          <t>SM_USD</t>
        </is>
      </c>
      <c r="K1119" s="24" t="inlineStr">
        <is>
          <t>TOTAL_COMM_USD</t>
        </is>
      </c>
      <c r="L1119" s="24" t="inlineStr">
        <is>
          <t>MIX_CI</t>
        </is>
      </c>
      <c r="M1119" s="24" t="inlineStr">
        <is>
          <t>MIX_CRE</t>
        </is>
      </c>
      <c r="N1119" s="24" t="inlineStr">
        <is>
          <t>MIX_CONSTR</t>
        </is>
      </c>
      <c r="O1119" s="24" t="inlineStr">
        <is>
          <t>MIX_OTHER</t>
        </is>
      </c>
      <c r="P1119" s="24" t="inlineStr">
        <is>
          <t>ACCESSION</t>
        </is>
      </c>
      <c r="Q1119" s="24" t="inlineStr">
        <is>
          <t>TAG</t>
        </is>
      </c>
    </row>
    <row r="1132">
      <c r="A1132" s="24" t="inlineStr">
        <is>
          <t>facts: period</t>
        </is>
      </c>
      <c r="B1132" s="24" t="inlineStr">
        <is>
          <t>class_qname</t>
        </is>
      </c>
      <c r="C1132" s="24" t="inlineStr">
        <is>
          <t>class</t>
        </is>
      </c>
      <c r="D1132" s="24" t="inlineStr">
        <is>
          <t>member_qname</t>
        </is>
      </c>
      <c r="E1132" s="24" t="inlineStr">
        <is>
          <t>grade</t>
        </is>
      </c>
      <c r="F1132" s="24" t="inlineStr">
        <is>
          <t>value_usd</t>
        </is>
      </c>
      <c r="G1132" s="24" t="inlineStr">
        <is>
          <t>tag</t>
        </is>
      </c>
      <c r="H1132" s="24" t="inlineStr">
        <is>
          <t>accession</t>
        </is>
      </c>
    </row>
    <row r="1169">
      <c r="A1169" s="24" t="inlineStr">
        <is>
          <t>events: date</t>
        </is>
      </c>
      <c r="B1169" s="24" t="inlineStr">
        <is>
          <t>item</t>
        </is>
      </c>
      <c r="C1169" s="24" t="inlineStr">
        <is>
          <t>form</t>
        </is>
      </c>
      <c r="D1169" s="24" t="inlineStr">
        <is>
          <t>accession</t>
        </is>
      </c>
      <c r="E1169" s="24" t="inlineStr">
        <is>
          <t>url</t>
        </is>
      </c>
    </row>
    <row r="1180">
      <c r="A1180" s="26" t="inlineStr">
        <is>
          <t>slot20</t>
        </is>
      </c>
    </row>
    <row r="1181">
      <c r="A1181" s="24" t="inlineStr">
        <is>
          <t>period</t>
        </is>
      </c>
      <c r="B1181" s="24" t="inlineStr">
        <is>
          <t>CRIT_RATIO</t>
        </is>
      </c>
      <c r="C1181" s="24" t="inlineStr">
        <is>
          <t>CLASS_RATIO</t>
        </is>
      </c>
      <c r="D1181" s="24" t="inlineStr">
        <is>
          <t>SM_RATIO</t>
        </is>
      </c>
      <c r="E1181" s="24" t="inlineStr">
        <is>
          <t>CRIT_QOQ</t>
        </is>
      </c>
      <c r="F1181" s="24" t="inlineStr">
        <is>
          <t>CRIT_YOY</t>
        </is>
      </c>
      <c r="G1181" s="24" t="inlineStr">
        <is>
          <t>CRIT_GROWTH</t>
        </is>
      </c>
      <c r="H1181" s="24" t="inlineStr">
        <is>
          <t>CRIT_USD</t>
        </is>
      </c>
      <c r="I1181" s="24" t="inlineStr">
        <is>
          <t>CLASS_USD</t>
        </is>
      </c>
      <c r="J1181" s="24" t="inlineStr">
        <is>
          <t>SM_USD</t>
        </is>
      </c>
      <c r="K1181" s="24" t="inlineStr">
        <is>
          <t>TOTAL_COMM_USD</t>
        </is>
      </c>
      <c r="L1181" s="24" t="inlineStr">
        <is>
          <t>MIX_CI</t>
        </is>
      </c>
      <c r="M1181" s="24" t="inlineStr">
        <is>
          <t>MIX_CRE</t>
        </is>
      </c>
      <c r="N1181" s="24" t="inlineStr">
        <is>
          <t>MIX_CONSTR</t>
        </is>
      </c>
      <c r="O1181" s="24" t="inlineStr">
        <is>
          <t>MIX_OTHER</t>
        </is>
      </c>
      <c r="P1181" s="24" t="inlineStr">
        <is>
          <t>ACCESSION</t>
        </is>
      </c>
      <c r="Q1181" s="24" t="inlineStr">
        <is>
          <t>TAG</t>
        </is>
      </c>
    </row>
    <row r="1194">
      <c r="A1194" s="24" t="inlineStr">
        <is>
          <t>facts: period</t>
        </is>
      </c>
      <c r="B1194" s="24" t="inlineStr">
        <is>
          <t>class_qname</t>
        </is>
      </c>
      <c r="C1194" s="24" t="inlineStr">
        <is>
          <t>class</t>
        </is>
      </c>
      <c r="D1194" s="24" t="inlineStr">
        <is>
          <t>member_qname</t>
        </is>
      </c>
      <c r="E1194" s="24" t="inlineStr">
        <is>
          <t>grade</t>
        </is>
      </c>
      <c r="F1194" s="24" t="inlineStr">
        <is>
          <t>value_usd</t>
        </is>
      </c>
      <c r="G1194" s="24" t="inlineStr">
        <is>
          <t>tag</t>
        </is>
      </c>
      <c r="H1194" s="24" t="inlineStr">
        <is>
          <t>accession</t>
        </is>
      </c>
    </row>
    <row r="1231">
      <c r="A1231" s="24" t="inlineStr">
        <is>
          <t>events: date</t>
        </is>
      </c>
      <c r="B1231" s="24" t="inlineStr">
        <is>
          <t>item</t>
        </is>
      </c>
      <c r="C1231" s="24" t="inlineStr">
        <is>
          <t>form</t>
        </is>
      </c>
      <c r="D1231" s="24" t="inlineStr">
        <is>
          <t>accession</t>
        </is>
      </c>
      <c r="E1231" s="24" t="inlineStr">
        <is>
          <t>url</t>
        </is>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E180"/>
  <sheetViews>
    <sheetView showGridLines="0" workbookViewId="0">
      <selection activeCell="A1" sqref="A1"/>
    </sheetView>
  </sheetViews>
  <sheetFormatPr baseColWidth="8" defaultRowHeight="15"/>
  <cols>
    <col width="26" customWidth="1" min="1" max="1"/>
    <col width="18" customWidth="1" min="2" max="2"/>
    <col width="46" customWidth="1" min="3" max="3"/>
    <col width="14" customWidth="1" min="4" max="4"/>
    <col width="10" customWidth="1" min="5" max="5"/>
  </cols>
  <sheetData>
    <row r="1">
      <c r="A1" s="26" t="inlineStr">
        <is>
          <t>EDGAR Criticized/Classified Tracker -- CONFIG (the knob panel). Edit values here; no code change needed.</t>
        </is>
      </c>
    </row>
    <row r="3">
      <c r="A3" s="27" t="inlineStr">
        <is>
          <t>[SETTINGS]</t>
        </is>
      </c>
    </row>
    <row r="4">
      <c r="A4" t="inlineStr">
        <is>
          <t>key</t>
        </is>
      </c>
      <c r="B4" t="inlineStr">
        <is>
          <t>value</t>
        </is>
      </c>
      <c r="C4" t="inlineStr">
        <is>
          <t>help</t>
        </is>
      </c>
    </row>
    <row r="5">
      <c r="A5" t="inlineStr">
        <is>
          <t>pack_version</t>
        </is>
      </c>
      <c r="B5" t="inlineStr">
        <is>
          <t>1.0</t>
        </is>
      </c>
      <c r="C5" t="inlineStr">
        <is>
          <t>pack version BUILT into this workbook. The raw layout and every formula are anchored to it; the runner refuses a mismatched layout -- rebuild, never edit in place.</t>
        </is>
      </c>
    </row>
    <row r="6">
      <c r="A6" t="inlineStr">
        <is>
          <t>demo_mode</t>
        </is>
      </c>
      <c r="B6" t="inlineStr">
        <is>
          <t>FALSE</t>
        </is>
      </c>
      <c r="C6" t="inlineStr">
        <is>
          <t>TRUE = offline deterministic EdgarDemoProvider (no network, no User-Agent needed), for trying the button and tests.</t>
        </is>
      </c>
    </row>
    <row r="7">
      <c r="A7" t="inlineStr">
        <is>
          <t>raw_slots</t>
        </is>
      </c>
      <c r="B7" t="n">
        <v>12</v>
      </c>
      <c r="C7" t="inlineStr">
        <is>
          <t>quarters kept per bank (newest-first). BUILT INTO every formula -- changing it requires rebuilding the workbook (make_workbook.py); the runner refuses a mismatched layout.</t>
        </is>
      </c>
    </row>
    <row r="8">
      <c r="A8" t="inlineStr">
        <is>
          <t>peer_slots</t>
        </is>
      </c>
      <c r="B8" t="n">
        <v>20</v>
      </c>
      <c r="C8" t="inlineStr">
        <is>
          <t>the BUILT peer capacity (make_workbook.py --peer-slots N sets it). More banks than this in [PEERS] = the runner refuses with the rebuild command -- never truncation.</t>
        </is>
      </c>
    </row>
    <row r="9">
      <c r="A9" t="inlineStr">
        <is>
          <t>edgar_user_agent</t>
        </is>
      </c>
      <c r="B9" t="inlineStr"/>
      <c r="C9" t="inlineStr">
        <is>
          <t>REQUIRED for live runs: SEC fair-access policy demands a declared User-Agent "{org} {email}" on every request (blank/generic = silent 403 + ~10-min IP block). Example: ExampleBank CreditRisk jane.doe@example.com. Still KEYLESS -- no API key or account.</t>
        </is>
      </c>
    </row>
    <row r="10">
      <c r="A10" t="inlineStr">
        <is>
          <t>http_min_interval</t>
        </is>
      </c>
      <c r="B10" t="n">
        <v>0.2</v>
      </c>
      <c r="C10" t="inlineStr">
        <is>
          <t>seconds between live SEC requests (fair-access cap is 10/s -- stay well under; floor 0.15s enforced).</t>
        </is>
      </c>
    </row>
    <row r="11">
      <c r="A11" t="inlineStr">
        <is>
          <t>edgar_max_retries</t>
        </is>
      </c>
      <c r="B11" t="n">
        <v>4</v>
      </c>
      <c r="C11" t="inlineStr">
        <is>
          <t>retries with backoff on HTTP 429/5xx (403 fails fast -- it means the User-Agent was rejected).</t>
        </is>
      </c>
    </row>
    <row r="12">
      <c r="A12" t="inlineStr">
        <is>
          <t>stale_multiplier</t>
        </is>
      </c>
      <c r="B12" t="n">
        <v>2</v>
      </c>
      <c r="C12" t="inlineStr">
        <is>
          <t>a bank is STALE when its latest CQI quarter lags the peer-set max by more than this many quarters (late filer or delisted? -- check submissions); stale banks are excluded from digest alert counts. NOTE: the Excel median row still includes them -- see _readme.</t>
        </is>
      </c>
    </row>
    <row r="13">
      <c r="A13" t="inlineStr">
        <is>
          <t>secret_env</t>
        </is>
      </c>
      <c r="B13" t="inlineStr"/>
      <c r="C13" t="inlineStr">
        <is>
          <t>NAME of the env var holding a licensed (Class C) secret. Empty in v1 -- EDGAR is keyless, and the gates admit ONLY Class A; a licensed swap requires its own review.</t>
        </is>
      </c>
    </row>
    <row r="15">
      <c r="A15" s="27" t="inlineStr">
        <is>
          <t>[THRESHOLDS]</t>
        </is>
      </c>
    </row>
    <row r="16">
      <c r="A16" t="inlineStr">
        <is>
          <t>id</t>
        </is>
      </c>
      <c r="B16" t="inlineStr">
        <is>
          <t>watch</t>
        </is>
      </c>
      <c r="C16" t="inlineStr">
        <is>
          <t>alert</t>
        </is>
      </c>
      <c r="D16" t="inlineStr">
        <is>
          <t>direction</t>
        </is>
      </c>
      <c r="E16" t="inlineStr">
        <is>
          <t>authority</t>
        </is>
      </c>
    </row>
    <row r="17">
      <c r="A17" t="inlineStr">
        <is>
          <t>criticized_ratio</t>
        </is>
      </c>
      <c r="B17" t="n">
        <v>4</v>
      </c>
      <c r="C17" t="n">
        <v>6</v>
      </c>
      <c r="D17" t="inlineStr">
        <is>
          <t>above</t>
        </is>
      </c>
      <c r="E17" t="inlineStr">
        <is>
          <t>HEURISTIC bands (labeled): mid-single-digit criticized share is elevated for a regional commercial book; calibrate to your house view. Definitions: 2004 Uniform Agreement / OCC Rating Credit Risk.</t>
        </is>
      </c>
    </row>
    <row r="18">
      <c r="A18" t="inlineStr">
        <is>
          <t>crit_qoq_delta</t>
        </is>
      </c>
      <c r="B18" t="n">
        <v>0.5</v>
      </c>
      <c r="C18" t="n">
        <v>1</v>
      </c>
      <c r="D18" t="inlineStr">
        <is>
          <t>above</t>
        </is>
      </c>
      <c r="E18" t="inlineStr">
        <is>
          <t>HEURISTIC: +0.5pp in one quarter = migration WATCH, +1.0pp = ALERT. Application timing is bank judgment (exam-cycle artifacts -- E9).</t>
        </is>
      </c>
    </row>
    <row r="19">
      <c r="A19" t="inlineStr">
        <is>
          <t>sm_ratio</t>
        </is>
      </c>
      <c r="B19" t="n">
        <v>2</v>
      </c>
      <c r="C19" t="n">
        <v>3</v>
      </c>
      <c r="D19" t="inlineStr">
        <is>
          <t>above</t>
        </is>
      </c>
      <c r="E19" t="inlineStr">
        <is>
          <t>HEURISTIC: special mention is the leading edge (SR 93-30 definition); grades_full banks only -- other families render N/A.</t>
        </is>
      </c>
    </row>
    <row r="20">
      <c r="A20" t="inlineStr">
        <is>
          <t># 8-K lane rule (not banded): ANY item 2.04/4.02/1.03 filing in the trailing 4 quarters = automatic WATCH flag on the bank row.</t>
        </is>
      </c>
    </row>
    <row r="22">
      <c r="A22" s="27" t="inlineStr">
        <is>
          <t>[PEERS]</t>
        </is>
      </c>
    </row>
    <row r="23">
      <c r="A23" t="inlineStr">
        <is>
          <t>slot</t>
        </is>
      </c>
      <c r="B23" t="inlineStr">
        <is>
          <t>cik</t>
        </is>
      </c>
      <c r="C23" t="inlineStr">
        <is>
          <t>name</t>
        </is>
      </c>
      <c r="D23" t="inlineStr">
        <is>
          <t>ticker</t>
        </is>
      </c>
      <c r="E23" t="inlineStr">
        <is>
          <t>active</t>
        </is>
      </c>
    </row>
    <row r="24">
      <c r="A24" t="n">
        <v>1</v>
      </c>
      <c r="B24" t="n">
        <v>35527</v>
      </c>
      <c r="C24" t="inlineStr">
        <is>
          <t>Fifth Third Bancorp</t>
        </is>
      </c>
      <c r="D24" t="inlineStr">
        <is>
          <t>FITB</t>
        </is>
      </c>
      <c r="E24" t="inlineStr">
        <is>
          <t>TRUE</t>
        </is>
      </c>
    </row>
    <row r="25">
      <c r="A25" t="n">
        <v>2</v>
      </c>
      <c r="B25" t="n">
        <v>1281761</v>
      </c>
      <c r="C25" t="inlineStr">
        <is>
          <t>Regions Financial Corp</t>
        </is>
      </c>
      <c r="D25" t="inlineStr">
        <is>
          <t>RF</t>
        </is>
      </c>
      <c r="E25" t="inlineStr">
        <is>
          <t>TRUE</t>
        </is>
      </c>
    </row>
    <row r="26">
      <c r="A26" t="n">
        <v>3</v>
      </c>
      <c r="B26" t="n">
        <v>109380</v>
      </c>
      <c r="C26" t="inlineStr">
        <is>
          <t>Zions Bancorporation NA</t>
        </is>
      </c>
      <c r="D26" t="inlineStr">
        <is>
          <t>ZION</t>
        </is>
      </c>
      <c r="E26" t="inlineStr">
        <is>
          <t>TRUE</t>
        </is>
      </c>
    </row>
    <row r="27">
      <c r="A27" t="n">
        <v>4</v>
      </c>
      <c r="B27" t="n">
        <v>28412</v>
      </c>
      <c r="C27" t="inlineStr">
        <is>
          <t>Comerica Inc</t>
        </is>
      </c>
      <c r="D27" t="inlineStr">
        <is>
          <t>CMA</t>
        </is>
      </c>
      <c r="E27" t="inlineStr">
        <is>
          <t>TRUE</t>
        </is>
      </c>
    </row>
    <row r="28">
      <c r="A28" t="n">
        <v>5</v>
      </c>
      <c r="B28" t="n">
        <v>49196</v>
      </c>
      <c r="C28" t="inlineStr">
        <is>
          <t>Huntington Bancshares Inc</t>
        </is>
      </c>
      <c r="D28" t="inlineStr">
        <is>
          <t>HBAN</t>
        </is>
      </c>
      <c r="E28" t="inlineStr">
        <is>
          <t>TRUE</t>
        </is>
      </c>
    </row>
    <row r="29">
      <c r="A29" t="n">
        <v>6</v>
      </c>
      <c r="B29" t="n">
        <v>92230</v>
      </c>
      <c r="C29" t="inlineStr">
        <is>
          <t>Truist Financial Corp</t>
        </is>
      </c>
      <c r="D29" t="inlineStr">
        <is>
          <t>TFC</t>
        </is>
      </c>
      <c r="E29" t="inlineStr">
        <is>
          <t>TRUE</t>
        </is>
      </c>
    </row>
    <row r="30">
      <c r="A30" t="n">
        <v>7</v>
      </c>
      <c r="B30" t="n">
        <v>91576</v>
      </c>
      <c r="C30" t="inlineStr">
        <is>
          <t>KeyCorp</t>
        </is>
      </c>
      <c r="D30" t="inlineStr">
        <is>
          <t>KEY</t>
        </is>
      </c>
      <c r="E30" t="inlineStr">
        <is>
          <t>TRUE</t>
        </is>
      </c>
    </row>
    <row r="31">
      <c r="A31" t="n">
        <v>8</v>
      </c>
      <c r="B31" t="n">
        <v>36270</v>
      </c>
      <c r="C31" t="inlineStr">
        <is>
          <t>M&amp;T Bank Corp</t>
        </is>
      </c>
      <c r="D31" t="inlineStr">
        <is>
          <t>MTB</t>
        </is>
      </c>
      <c r="E31" t="inlineStr">
        <is>
          <t>TRUE</t>
        </is>
      </c>
    </row>
    <row r="32">
      <c r="A32" t="n">
        <v>9</v>
      </c>
      <c r="B32" t="n">
        <v>36104</v>
      </c>
      <c r="C32" t="inlineStr">
        <is>
          <t>US Bancorp</t>
        </is>
      </c>
      <c r="D32" t="inlineStr">
        <is>
          <t>USB</t>
        </is>
      </c>
      <c r="E32" t="inlineStr">
        <is>
          <t>TRUE</t>
        </is>
      </c>
    </row>
    <row r="33">
      <c r="A33" t="n">
        <v>10</v>
      </c>
      <c r="B33" t="n">
        <v>875357</v>
      </c>
      <c r="C33" t="inlineStr">
        <is>
          <t>BOK Financial Corp</t>
        </is>
      </c>
      <c r="D33" t="inlineStr">
        <is>
          <t>BOKF</t>
        </is>
      </c>
      <c r="E33" t="inlineStr">
        <is>
          <t>TRUE</t>
        </is>
      </c>
    </row>
    <row r="34">
      <c r="A34" t="n">
        <v>11</v>
      </c>
      <c r="B34" t="inlineStr"/>
      <c r="C34" t="inlineStr"/>
      <c r="D34" t="inlineStr"/>
      <c r="E34" t="inlineStr"/>
    </row>
    <row r="35">
      <c r="A35" t="n">
        <v>12</v>
      </c>
      <c r="B35" t="inlineStr"/>
      <c r="C35" t="inlineStr"/>
      <c r="D35" t="inlineStr"/>
      <c r="E35" t="inlineStr"/>
    </row>
    <row r="36">
      <c r="A36" t="n">
        <v>13</v>
      </c>
      <c r="B36" t="inlineStr"/>
      <c r="C36" t="inlineStr"/>
      <c r="D36" t="inlineStr"/>
      <c r="E36" t="inlineStr"/>
    </row>
    <row r="37">
      <c r="A37" t="n">
        <v>14</v>
      </c>
      <c r="B37" t="inlineStr"/>
      <c r="C37" t="inlineStr"/>
      <c r="D37" t="inlineStr"/>
      <c r="E37" t="inlineStr"/>
    </row>
    <row r="38">
      <c r="A38" t="n">
        <v>15</v>
      </c>
      <c r="B38" t="inlineStr"/>
      <c r="C38" t="inlineStr"/>
      <c r="D38" t="inlineStr"/>
      <c r="E38" t="inlineStr"/>
    </row>
    <row r="39">
      <c r="A39" t="n">
        <v>16</v>
      </c>
      <c r="B39" t="inlineStr"/>
      <c r="C39" t="inlineStr"/>
      <c r="D39" t="inlineStr"/>
      <c r="E39" t="inlineStr"/>
    </row>
    <row r="40">
      <c r="A40" t="n">
        <v>17</v>
      </c>
      <c r="B40" t="inlineStr"/>
      <c r="C40" t="inlineStr"/>
      <c r="D40" t="inlineStr"/>
      <c r="E40" t="inlineStr"/>
    </row>
    <row r="41">
      <c r="A41" t="n">
        <v>18</v>
      </c>
      <c r="B41" t="inlineStr"/>
      <c r="C41" t="inlineStr"/>
      <c r="D41" t="inlineStr"/>
      <c r="E41" t="inlineStr"/>
    </row>
    <row r="42">
      <c r="A42" t="n">
        <v>19</v>
      </c>
      <c r="B42" t="inlineStr"/>
      <c r="C42" t="inlineStr"/>
      <c r="D42" t="inlineStr"/>
      <c r="E42" t="inlineStr"/>
    </row>
    <row r="43">
      <c r="A43" t="n">
        <v>20</v>
      </c>
      <c r="B43" t="inlineStr"/>
      <c r="C43" t="inlineStr"/>
      <c r="D43" t="inlineStr"/>
      <c r="E43" t="inlineStr"/>
    </row>
    <row r="44">
      <c r="A44" t="inlineStr">
        <is>
          <t># One bank per row: slot | cik | name | ticker | active. Add a bank = fill a free slot row + re-run (no rebuild). Remove = active FALSE or clear the row (the slot blanks on the next run). The registrant is the HOLDING COMPANY (CIK), not the bank charter (CERT) -- see _readme.</t>
        </is>
      </c>
    </row>
    <row r="45">
      <c r="A45" t="inlineStr">
        <is>
          <t># CIK provenance: all 10 seeded CIKs and their disclosure families are research-verified (COVERAGE_RESEARCH_EDGAR.md). Find more with: python runner.py --lookup "&lt;name&gt;".</t>
        </is>
      </c>
    </row>
    <row r="47">
      <c r="A47" s="27" t="inlineStr">
        <is>
          <t>[MEMBER_MAP]</t>
        </is>
      </c>
    </row>
    <row r="48">
      <c r="A48" t="inlineStr">
        <is>
          <t>cik</t>
        </is>
      </c>
      <c r="B48" t="inlineStr">
        <is>
          <t>family</t>
        </is>
      </c>
      <c r="C48" t="inlineStr">
        <is>
          <t>member_qname</t>
        </is>
      </c>
      <c r="D48" t="inlineStr">
        <is>
          <t>grade</t>
        </is>
      </c>
    </row>
    <row r="49">
      <c r="A49" t="n">
        <v>35527</v>
      </c>
      <c r="B49" t="inlineStr">
        <is>
          <t>grades_full</t>
        </is>
      </c>
      <c r="C49" t="inlineStr">
        <is>
          <t>us-gaap:PassMember</t>
        </is>
      </c>
      <c r="D49" t="inlineStr">
        <is>
          <t>pass</t>
        </is>
      </c>
    </row>
    <row r="50">
      <c r="A50" t="n">
        <v>35527</v>
      </c>
      <c r="B50" t="inlineStr">
        <is>
          <t>grades_full</t>
        </is>
      </c>
      <c r="C50" t="inlineStr">
        <is>
          <t>us-gaap:SpecialMentionMember</t>
        </is>
      </c>
      <c r="D50" t="inlineStr">
        <is>
          <t>special_mention</t>
        </is>
      </c>
    </row>
    <row r="51">
      <c r="A51" t="n">
        <v>35527</v>
      </c>
      <c r="B51" t="inlineStr">
        <is>
          <t>grades_full</t>
        </is>
      </c>
      <c r="C51" t="inlineStr">
        <is>
          <t>us-gaap:SubstandardMember</t>
        </is>
      </c>
      <c r="D51" t="inlineStr">
        <is>
          <t>substandard</t>
        </is>
      </c>
    </row>
    <row r="52">
      <c r="A52" t="n">
        <v>35527</v>
      </c>
      <c r="B52" t="inlineStr">
        <is>
          <t>grades_full</t>
        </is>
      </c>
      <c r="C52" t="inlineStr">
        <is>
          <t>us-gaap:DoubtfulMember</t>
        </is>
      </c>
      <c r="D52" t="inlineStr">
        <is>
          <t>doubtful</t>
        </is>
      </c>
    </row>
    <row r="53">
      <c r="A53" t="n">
        <v>35527</v>
      </c>
      <c r="B53" t="inlineStr">
        <is>
          <t>grades_full</t>
        </is>
      </c>
      <c r="C53" t="inlineStr">
        <is>
          <t>us-gaap:UnlikelyToBeCollectedFinancingReceivableMember</t>
        </is>
      </c>
      <c r="D53" t="inlineStr">
        <is>
          <t>loss</t>
        </is>
      </c>
    </row>
    <row r="54">
      <c r="A54" t="n">
        <v>35527</v>
      </c>
      <c r="B54" t="inlineStr">
        <is>
          <t>grades_full</t>
        </is>
      </c>
      <c r="C54" t="inlineStr">
        <is>
          <t>us-gaap:CriticizedMember</t>
        </is>
      </c>
      <c r="D54" t="inlineStr">
        <is>
          <t>ignore</t>
        </is>
      </c>
    </row>
    <row r="55">
      <c r="A55" t="n">
        <v>1281761</v>
      </c>
      <c r="B55" t="inlineStr">
        <is>
          <t>grades_full</t>
        </is>
      </c>
      <c r="C55" t="inlineStr">
        <is>
          <t>us-gaap:PassMember</t>
        </is>
      </c>
      <c r="D55" t="inlineStr">
        <is>
          <t>pass</t>
        </is>
      </c>
    </row>
    <row r="56">
      <c r="A56" t="n">
        <v>1281761</v>
      </c>
      <c r="B56" t="inlineStr">
        <is>
          <t>grades_full</t>
        </is>
      </c>
      <c r="C56" t="inlineStr">
        <is>
          <t>us-gaap:SpecialMentionMember</t>
        </is>
      </c>
      <c r="D56" t="inlineStr">
        <is>
          <t>special_mention</t>
        </is>
      </c>
    </row>
    <row r="57">
      <c r="A57" t="n">
        <v>1281761</v>
      </c>
      <c r="B57" t="inlineStr">
        <is>
          <t>grades_full</t>
        </is>
      </c>
      <c r="C57" t="inlineStr">
        <is>
          <t>us-gaap:SubstandardMember</t>
        </is>
      </c>
      <c r="D57" t="inlineStr">
        <is>
          <t>substandard</t>
        </is>
      </c>
    </row>
    <row r="58">
      <c r="A58" t="n">
        <v>1281761</v>
      </c>
      <c r="B58" t="inlineStr">
        <is>
          <t>grades_full</t>
        </is>
      </c>
      <c r="C58" t="inlineStr">
        <is>
          <t>us-gaap:DoubtfulMember</t>
        </is>
      </c>
      <c r="D58" t="inlineStr">
        <is>
          <t>doubtful</t>
        </is>
      </c>
    </row>
    <row r="59">
      <c r="A59" t="n">
        <v>1281761</v>
      </c>
      <c r="B59" t="inlineStr">
        <is>
          <t>grades_full</t>
        </is>
      </c>
      <c r="C59" t="inlineStr">
        <is>
          <t>us-gaap:UnlikelyToBeCollectedFinancingReceivableMember</t>
        </is>
      </c>
      <c r="D59" t="inlineStr">
        <is>
          <t>loss</t>
        </is>
      </c>
    </row>
    <row r="60">
      <c r="A60" t="n">
        <v>1281761</v>
      </c>
      <c r="B60" t="inlineStr">
        <is>
          <t>grades_full</t>
        </is>
      </c>
      <c r="C60" t="inlineStr">
        <is>
          <t>us-gaap:CriticizedMember</t>
        </is>
      </c>
      <c r="D60" t="inlineStr">
        <is>
          <t>ignore</t>
        </is>
      </c>
    </row>
    <row r="61">
      <c r="A61" t="n">
        <v>109380</v>
      </c>
      <c r="B61" t="inlineStr">
        <is>
          <t>grades_full</t>
        </is>
      </c>
      <c r="C61" t="inlineStr">
        <is>
          <t>us-gaap:PassMember</t>
        </is>
      </c>
      <c r="D61" t="inlineStr">
        <is>
          <t>pass</t>
        </is>
      </c>
    </row>
    <row r="62">
      <c r="A62" t="n">
        <v>109380</v>
      </c>
      <c r="B62" t="inlineStr">
        <is>
          <t>grades_full</t>
        </is>
      </c>
      <c r="C62" t="inlineStr">
        <is>
          <t>us-gaap:SpecialMentionMember</t>
        </is>
      </c>
      <c r="D62" t="inlineStr">
        <is>
          <t>special_mention</t>
        </is>
      </c>
    </row>
    <row r="63">
      <c r="A63" t="n">
        <v>109380</v>
      </c>
      <c r="B63" t="inlineStr">
        <is>
          <t>grades_full</t>
        </is>
      </c>
      <c r="C63" t="inlineStr">
        <is>
          <t>us-gaap:SubstandardMember</t>
        </is>
      </c>
      <c r="D63" t="inlineStr">
        <is>
          <t>substandard</t>
        </is>
      </c>
    </row>
    <row r="64">
      <c r="A64" t="n">
        <v>109380</v>
      </c>
      <c r="B64" t="inlineStr">
        <is>
          <t>grades_full</t>
        </is>
      </c>
      <c r="C64" t="inlineStr">
        <is>
          <t>us-gaap:DoubtfulMember</t>
        </is>
      </c>
      <c r="D64" t="inlineStr">
        <is>
          <t>doubtful</t>
        </is>
      </c>
    </row>
    <row r="65">
      <c r="A65" t="n">
        <v>109380</v>
      </c>
      <c r="B65" t="inlineStr">
        <is>
          <t>grades_full</t>
        </is>
      </c>
      <c r="C65" t="inlineStr">
        <is>
          <t>us-gaap:UnlikelyToBeCollectedFinancingReceivableMember</t>
        </is>
      </c>
      <c r="D65" t="inlineStr">
        <is>
          <t>loss</t>
        </is>
      </c>
    </row>
    <row r="66">
      <c r="A66" t="n">
        <v>109380</v>
      </c>
      <c r="B66" t="inlineStr">
        <is>
          <t>grades_full</t>
        </is>
      </c>
      <c r="C66" t="inlineStr">
        <is>
          <t>us-gaap:CriticizedMember</t>
        </is>
      </c>
      <c r="D66" t="inlineStr">
        <is>
          <t>ignore</t>
        </is>
      </c>
    </row>
    <row r="67">
      <c r="A67" t="n">
        <v>28412</v>
      </c>
      <c r="B67" t="inlineStr">
        <is>
          <t>grades_full</t>
        </is>
      </c>
      <c r="C67" t="inlineStr">
        <is>
          <t>us-gaap:PassMember</t>
        </is>
      </c>
      <c r="D67" t="inlineStr">
        <is>
          <t>pass</t>
        </is>
      </c>
    </row>
    <row r="68">
      <c r="A68" t="n">
        <v>28412</v>
      </c>
      <c r="B68" t="inlineStr">
        <is>
          <t>grades_full</t>
        </is>
      </c>
      <c r="C68" t="inlineStr">
        <is>
          <t>us-gaap:SpecialMentionMember</t>
        </is>
      </c>
      <c r="D68" t="inlineStr">
        <is>
          <t>special_mention</t>
        </is>
      </c>
    </row>
    <row r="69">
      <c r="A69" t="n">
        <v>28412</v>
      </c>
      <c r="B69" t="inlineStr">
        <is>
          <t>grades_full</t>
        </is>
      </c>
      <c r="C69" t="inlineStr">
        <is>
          <t>us-gaap:SubstandardMember</t>
        </is>
      </c>
      <c r="D69" t="inlineStr">
        <is>
          <t>substandard</t>
        </is>
      </c>
    </row>
    <row r="70">
      <c r="A70" t="n">
        <v>28412</v>
      </c>
      <c r="B70" t="inlineStr">
        <is>
          <t>grades_full</t>
        </is>
      </c>
      <c r="C70" t="inlineStr">
        <is>
          <t>us-gaap:DoubtfulMember</t>
        </is>
      </c>
      <c r="D70" t="inlineStr">
        <is>
          <t>doubtful</t>
        </is>
      </c>
    </row>
    <row r="71">
      <c r="A71" t="n">
        <v>28412</v>
      </c>
      <c r="B71" t="inlineStr">
        <is>
          <t>grades_full</t>
        </is>
      </c>
      <c r="C71" t="inlineStr">
        <is>
          <t>us-gaap:UnlikelyToBeCollectedFinancingReceivableMember</t>
        </is>
      </c>
      <c r="D71" t="inlineStr">
        <is>
          <t>loss</t>
        </is>
      </c>
    </row>
    <row r="72">
      <c r="A72" t="n">
        <v>28412</v>
      </c>
      <c r="B72" t="inlineStr">
        <is>
          <t>grades_full</t>
        </is>
      </c>
      <c r="C72" t="inlineStr">
        <is>
          <t>us-gaap:CriticizedMember</t>
        </is>
      </c>
      <c r="D72" t="inlineStr">
        <is>
          <t>ignore</t>
        </is>
      </c>
    </row>
    <row r="73">
      <c r="A73" t="n">
        <v>49196</v>
      </c>
      <c r="B73" t="inlineStr">
        <is>
          <t>grades_full</t>
        </is>
      </c>
      <c r="C73" t="inlineStr">
        <is>
          <t>us-gaap:PassMember</t>
        </is>
      </c>
      <c r="D73" t="inlineStr">
        <is>
          <t>pass</t>
        </is>
      </c>
    </row>
    <row r="74">
      <c r="A74" t="n">
        <v>49196</v>
      </c>
      <c r="B74" t="inlineStr">
        <is>
          <t>grades_full</t>
        </is>
      </c>
      <c r="C74" t="inlineStr">
        <is>
          <t>us-gaap:SpecialMentionMember</t>
        </is>
      </c>
      <c r="D74" t="inlineStr">
        <is>
          <t>special_mention</t>
        </is>
      </c>
    </row>
    <row r="75">
      <c r="A75" t="n">
        <v>49196</v>
      </c>
      <c r="B75" t="inlineStr">
        <is>
          <t>grades_full</t>
        </is>
      </c>
      <c r="C75" t="inlineStr">
        <is>
          <t>us-gaap:SubstandardMember</t>
        </is>
      </c>
      <c r="D75" t="inlineStr">
        <is>
          <t>substandard</t>
        </is>
      </c>
    </row>
    <row r="76">
      <c r="A76" t="n">
        <v>49196</v>
      </c>
      <c r="B76" t="inlineStr">
        <is>
          <t>grades_full</t>
        </is>
      </c>
      <c r="C76" t="inlineStr">
        <is>
          <t>us-gaap:DoubtfulMember</t>
        </is>
      </c>
      <c r="D76" t="inlineStr">
        <is>
          <t>doubtful</t>
        </is>
      </c>
    </row>
    <row r="77">
      <c r="A77" t="n">
        <v>49196</v>
      </c>
      <c r="B77" t="inlineStr">
        <is>
          <t>grades_full</t>
        </is>
      </c>
      <c r="C77" t="inlineStr">
        <is>
          <t>us-gaap:UnlikelyToBeCollectedFinancingReceivableMember</t>
        </is>
      </c>
      <c r="D77" t="inlineStr">
        <is>
          <t>loss</t>
        </is>
      </c>
    </row>
    <row r="78">
      <c r="A78" t="n">
        <v>49196</v>
      </c>
      <c r="B78" t="inlineStr">
        <is>
          <t>grades_full</t>
        </is>
      </c>
      <c r="C78" t="inlineStr">
        <is>
          <t>us-gaap:CriticizedMember</t>
        </is>
      </c>
      <c r="D78" t="inlineStr">
        <is>
          <t>ignore</t>
        </is>
      </c>
    </row>
    <row r="79">
      <c r="A79" t="n">
        <v>49196</v>
      </c>
      <c r="B79" t="inlineStr">
        <is>
          <t>grades_full</t>
        </is>
      </c>
      <c r="C79" t="inlineStr">
        <is>
          <t>hban:OlemMember</t>
        </is>
      </c>
      <c r="D79" t="inlineStr">
        <is>
          <t>special_mention</t>
        </is>
      </c>
    </row>
    <row r="80">
      <c r="A80" t="n">
        <v>92230</v>
      </c>
      <c r="B80" t="inlineStr">
        <is>
          <t>grades_full</t>
        </is>
      </c>
      <c r="C80" t="inlineStr">
        <is>
          <t>us-gaap:PassMember</t>
        </is>
      </c>
      <c r="D80" t="inlineStr">
        <is>
          <t>pass</t>
        </is>
      </c>
    </row>
    <row r="81">
      <c r="A81" t="n">
        <v>92230</v>
      </c>
      <c r="B81" t="inlineStr">
        <is>
          <t>grades_full</t>
        </is>
      </c>
      <c r="C81" t="inlineStr">
        <is>
          <t>us-gaap:SpecialMentionMember</t>
        </is>
      </c>
      <c r="D81" t="inlineStr">
        <is>
          <t>special_mention</t>
        </is>
      </c>
    </row>
    <row r="82">
      <c r="A82" t="n">
        <v>92230</v>
      </c>
      <c r="B82" t="inlineStr">
        <is>
          <t>grades_full</t>
        </is>
      </c>
      <c r="C82" t="inlineStr">
        <is>
          <t>us-gaap:SubstandardMember</t>
        </is>
      </c>
      <c r="D82" t="inlineStr">
        <is>
          <t>substandard</t>
        </is>
      </c>
    </row>
    <row r="83">
      <c r="A83" t="n">
        <v>92230</v>
      </c>
      <c r="B83" t="inlineStr">
        <is>
          <t>grades_full</t>
        </is>
      </c>
      <c r="C83" t="inlineStr">
        <is>
          <t>us-gaap:DoubtfulMember</t>
        </is>
      </c>
      <c r="D83" t="inlineStr">
        <is>
          <t>doubtful</t>
        </is>
      </c>
    </row>
    <row r="84">
      <c r="A84" t="n">
        <v>92230</v>
      </c>
      <c r="B84" t="inlineStr">
        <is>
          <t>grades_full</t>
        </is>
      </c>
      <c r="C84" t="inlineStr">
        <is>
          <t>us-gaap:UnlikelyToBeCollectedFinancingReceivableMember</t>
        </is>
      </c>
      <c r="D84" t="inlineStr">
        <is>
          <t>loss</t>
        </is>
      </c>
    </row>
    <row r="85">
      <c r="A85" t="n">
        <v>92230</v>
      </c>
      <c r="B85" t="inlineStr">
        <is>
          <t>grades_full</t>
        </is>
      </c>
      <c r="C85" t="inlineStr">
        <is>
          <t>us-gaap:CriticizedMember</t>
        </is>
      </c>
      <c r="D85" t="inlineStr">
        <is>
          <t>ignore</t>
        </is>
      </c>
    </row>
    <row r="86">
      <c r="A86" t="n">
        <v>91576</v>
      </c>
      <c r="B86" t="inlineStr">
        <is>
          <t>criticized_only</t>
        </is>
      </c>
      <c r="C86" t="inlineStr">
        <is>
          <t>us-gaap:PassMember</t>
        </is>
      </c>
      <c r="D86" t="inlineStr">
        <is>
          <t>pass</t>
        </is>
      </c>
    </row>
    <row r="87">
      <c r="A87" t="n">
        <v>91576</v>
      </c>
      <c r="B87" t="inlineStr">
        <is>
          <t>criticized_only</t>
        </is>
      </c>
      <c r="C87" t="inlineStr">
        <is>
          <t>key:CriticizedAccruingMember</t>
        </is>
      </c>
      <c r="D87" t="inlineStr">
        <is>
          <t>criticized_accruing</t>
        </is>
      </c>
    </row>
    <row r="88">
      <c r="A88" t="n">
        <v>91576</v>
      </c>
      <c r="B88" t="inlineStr">
        <is>
          <t>criticized_only</t>
        </is>
      </c>
      <c r="C88" t="inlineStr">
        <is>
          <t>key:CriticizedNonaccrualMember</t>
        </is>
      </c>
      <c r="D88" t="inlineStr">
        <is>
          <t>criticized_nonaccruing</t>
        </is>
      </c>
    </row>
    <row r="89">
      <c r="A89" t="n">
        <v>36270</v>
      </c>
      <c r="B89" t="inlineStr">
        <is>
          <t>criticized_only</t>
        </is>
      </c>
      <c r="C89" t="inlineStr">
        <is>
          <t>us-gaap:PassMember</t>
        </is>
      </c>
      <c r="D89" t="inlineStr">
        <is>
          <t>pass</t>
        </is>
      </c>
    </row>
    <row r="90">
      <c r="A90" t="n">
        <v>36270</v>
      </c>
      <c r="B90" t="inlineStr">
        <is>
          <t>criticized_only</t>
        </is>
      </c>
      <c r="C90" t="inlineStr">
        <is>
          <t>mtb:CriticizedAccruingMember</t>
        </is>
      </c>
      <c r="D90" t="inlineStr">
        <is>
          <t>criticized_accruing</t>
        </is>
      </c>
    </row>
    <row r="91">
      <c r="A91" t="n">
        <v>36270</v>
      </c>
      <c r="B91" t="inlineStr">
        <is>
          <t>criticized_only</t>
        </is>
      </c>
      <c r="C91" t="inlineStr">
        <is>
          <t>mtb:CriticizedNonaccrualMember</t>
        </is>
      </c>
      <c r="D91" t="inlineStr">
        <is>
          <t>criticized_nonaccruing</t>
        </is>
      </c>
    </row>
    <row r="92">
      <c r="A92" t="n">
        <v>36104</v>
      </c>
      <c r="B92" t="inlineStr">
        <is>
          <t>ig_nig</t>
        </is>
      </c>
      <c r="C92" t="inlineStr">
        <is>
          <t>us-gaap:InternalInvestmentGradeMember</t>
        </is>
      </c>
      <c r="D92" t="inlineStr">
        <is>
          <t>investment_grade</t>
        </is>
      </c>
    </row>
    <row r="93">
      <c r="A93" t="n">
        <v>36104</v>
      </c>
      <c r="B93" t="inlineStr">
        <is>
          <t>ig_nig</t>
        </is>
      </c>
      <c r="C93" t="inlineStr">
        <is>
          <t>us-gaap:InternalNoninvestmentGradeMember</t>
        </is>
      </c>
      <c r="D93" t="inlineStr">
        <is>
          <t>noninvestment_grade</t>
        </is>
      </c>
    </row>
    <row r="94">
      <c r="A94" t="n">
        <v>875357</v>
      </c>
      <c r="B94" t="inlineStr">
        <is>
          <t>grades_full</t>
        </is>
      </c>
      <c r="C94" t="inlineStr">
        <is>
          <t>us-gaap:PassMember</t>
        </is>
      </c>
      <c r="D94" t="inlineStr">
        <is>
          <t>pass</t>
        </is>
      </c>
    </row>
    <row r="95">
      <c r="A95" t="n">
        <v>875357</v>
      </c>
      <c r="B95" t="inlineStr">
        <is>
          <t>grades_full</t>
        </is>
      </c>
      <c r="C95" t="inlineStr">
        <is>
          <t>us-gaap:SpecialMentionMember</t>
        </is>
      </c>
      <c r="D95" t="inlineStr">
        <is>
          <t>special_mention</t>
        </is>
      </c>
    </row>
    <row r="96">
      <c r="A96" t="n">
        <v>875357</v>
      </c>
      <c r="B96" t="inlineStr">
        <is>
          <t>grades_full</t>
        </is>
      </c>
      <c r="C96" t="inlineStr">
        <is>
          <t>us-gaap:SubstandardMember</t>
        </is>
      </c>
      <c r="D96" t="inlineStr">
        <is>
          <t>substandard</t>
        </is>
      </c>
    </row>
    <row r="97">
      <c r="A97" t="n">
        <v>875357</v>
      </c>
      <c r="B97" t="inlineStr">
        <is>
          <t>grades_full</t>
        </is>
      </c>
      <c r="C97" t="inlineStr">
        <is>
          <t>us-gaap:DoubtfulMember</t>
        </is>
      </c>
      <c r="D97" t="inlineStr">
        <is>
          <t>doubtful</t>
        </is>
      </c>
    </row>
    <row r="98">
      <c r="A98" t="n">
        <v>875357</v>
      </c>
      <c r="B98" t="inlineStr">
        <is>
          <t>grades_full</t>
        </is>
      </c>
      <c r="C98" t="inlineStr">
        <is>
          <t>us-gaap:UnlikelyToBeCollectedFinancingReceivableMember</t>
        </is>
      </c>
      <c r="D98" t="inlineStr">
        <is>
          <t>loss</t>
        </is>
      </c>
    </row>
    <row r="99">
      <c r="A99" t="n">
        <v>875357</v>
      </c>
      <c r="B99" t="inlineStr">
        <is>
          <t>grades_full</t>
        </is>
      </c>
      <c r="C99" t="inlineStr">
        <is>
          <t>us-gaap:CriticizedMember</t>
        </is>
      </c>
      <c r="D99" t="inlineStr">
        <is>
          <t>ignore</t>
        </is>
      </c>
    </row>
    <row r="140">
      <c r="A140" t="inlineStr">
        <is>
          <t># cik | family | member_qname | grade. Grades: pass, special_mention, substandard, doubtful, loss, criticized_accruing, criticized_nonaccruing, investment_grade, noninvestment_grade, ignore, unmapped.</t>
        </is>
      </c>
    </row>
    <row r="141">
      <c r="A141" t="inlineStr">
        <is>
          <t># The runner APPENDS newly observed members into the blank rows above as grade="unmapped" and flags them -- map them by hand (edit the grade cell) and re-run; NEVER guessed. us-gaap:CriticizedMember is a SUBTOTAL (parents SM/Sub/Doubtful/Loss) -- seeded grade="ignore" so it never double-counts.</t>
        </is>
      </c>
    </row>
    <row r="142">
      <c r="A142" t="inlineStr">
        <is>
          <t># Extension qnames (key:/mtb:/hban:) are ILLUSTRATIVE seeds for the researched disclosure shapes; the first live fetch resolves the real ones via this same bootstrap.</t>
        </is>
      </c>
    </row>
    <row r="144">
      <c r="A144" s="27" t="inlineStr">
        <is>
          <t>[CLASS_MAP]</t>
        </is>
      </c>
    </row>
    <row r="145">
      <c r="A145" t="inlineStr">
        <is>
          <t>cik</t>
        </is>
      </c>
      <c r="B145" t="inlineStr">
        <is>
          <t>class_member_qname</t>
        </is>
      </c>
      <c r="C145" t="inlineStr">
        <is>
          <t>class</t>
        </is>
      </c>
    </row>
    <row r="146">
      <c r="A146" t="inlineStr">
        <is>
          <t>*</t>
        </is>
      </c>
      <c r="B146" t="inlineStr">
        <is>
          <t>us-gaap:CommercialPortfolioSegmentMember</t>
        </is>
      </c>
      <c r="C146" t="inlineStr">
        <is>
          <t>ci</t>
        </is>
      </c>
    </row>
    <row r="147">
      <c r="A147" t="inlineStr">
        <is>
          <t>*</t>
        </is>
      </c>
      <c r="B147" t="inlineStr">
        <is>
          <t>us-gaap:CommercialRealEstatePortfolioSegmentMember</t>
        </is>
      </c>
      <c r="C147" t="inlineStr">
        <is>
          <t>cre</t>
        </is>
      </c>
    </row>
    <row r="148">
      <c r="A148" t="inlineStr">
        <is>
          <t>*</t>
        </is>
      </c>
      <c r="B148" t="inlineStr">
        <is>
          <t>us-gaap:ConstructionLoansMember</t>
        </is>
      </c>
      <c r="C148" t="inlineStr">
        <is>
          <t>construction</t>
        </is>
      </c>
    </row>
    <row r="149">
      <c r="A149" t="inlineStr">
        <is>
          <t>*</t>
        </is>
      </c>
      <c r="B149" t="inlineStr">
        <is>
          <t>us-gaap:CommercialLoanMember</t>
        </is>
      </c>
      <c r="C149" t="inlineStr">
        <is>
          <t>other_commercial</t>
        </is>
      </c>
    </row>
    <row r="150">
      <c r="A150" t="inlineStr">
        <is>
          <t>*</t>
        </is>
      </c>
      <c r="B150" t="inlineStr">
        <is>
          <t>us-gaap:ResidentialPortfolioSegmentMember</t>
        </is>
      </c>
      <c r="C150" t="inlineStr">
        <is>
          <t>excluded</t>
        </is>
      </c>
    </row>
    <row r="151">
      <c r="A151" t="inlineStr">
        <is>
          <t>*</t>
        </is>
      </c>
      <c r="B151" t="inlineStr">
        <is>
          <t>us-gaap:ConsumerPortfolioSegmentMember</t>
        </is>
      </c>
      <c r="C151" t="inlineStr">
        <is>
          <t>excluded</t>
        </is>
      </c>
    </row>
    <row r="152">
      <c r="A152" t="inlineStr">
        <is>
          <t>*</t>
        </is>
      </c>
      <c r="B152" t="inlineStr">
        <is>
          <t>us-gaap:ResidentialMortgageMember</t>
        </is>
      </c>
      <c r="C152" t="inlineStr">
        <is>
          <t>excluded</t>
        </is>
      </c>
    </row>
    <row r="153">
      <c r="A153" t="inlineStr">
        <is>
          <t>*</t>
        </is>
      </c>
      <c r="B153" t="inlineStr">
        <is>
          <t>us-gaap:HomeEquityLoanMember</t>
        </is>
      </c>
      <c r="C153" t="inlineStr">
        <is>
          <t>excluded</t>
        </is>
      </c>
    </row>
    <row r="154">
      <c r="A154" t="inlineStr">
        <is>
          <t>*</t>
        </is>
      </c>
      <c r="B154" t="inlineStr">
        <is>
          <t>us-gaap:AutomobileLoanMember</t>
        </is>
      </c>
      <c r="C154" t="inlineStr">
        <is>
          <t>excluded</t>
        </is>
      </c>
    </row>
    <row r="155">
      <c r="A155" t="inlineStr">
        <is>
          <t>*</t>
        </is>
      </c>
      <c r="B155" t="inlineStr">
        <is>
          <t>us-gaap:CreditCardReceivablesMember</t>
        </is>
      </c>
      <c r="C155" t="inlineStr">
        <is>
          <t>excluded</t>
        </is>
      </c>
    </row>
    <row r="180">
      <c r="A180" t="inlineStr">
        <is>
          <t># cik | class_member_qname | class. Classes: ci, cre, construction, other_commercial, excluded (consumer/resi -- dropped from the COMMERCIAL denominators), unmapped. cik="*" rows are standard us-gaap members applying to every bank; per-bank extension class members bootstrap into the blank rows above as "unmapped" (excluded from rollups until you map them -- trap E5).</t>
        </is>
      </c>
    </row>
  </sheetData>
  <pageMargins left="0.75" right="0.75" top="1" bottom="1" header="0.5" footer="0.5"/>
</worksheet>
</file>

<file path=xl/worksheets/sheet6.xml><?xml version="1.0" encoding="utf-8"?>
<worksheet xmlns="http://schemas.openxmlformats.org/spreadsheetml/2006/main">
  <sheetPr>
    <outlinePr summaryBelow="1" summaryRight="1"/>
    <pageSetUpPr/>
  </sheetPr>
  <dimension ref="A1:F52"/>
  <sheetViews>
    <sheetView showGridLines="0" workbookViewId="0">
      <pane ySplit="33" topLeftCell="A34" activePane="bottomLeft" state="frozen"/>
      <selection pane="bottomLeft" activeCell="A1" sqref="A1"/>
    </sheetView>
  </sheetViews>
  <sheetFormatPr baseColWidth="8" defaultRowHeight="15"/>
  <cols>
    <col width="22" customWidth="1" min="1" max="1"/>
    <col width="42" customWidth="1" min="2" max="2"/>
    <col width="52" customWidth="1" min="3" max="3"/>
    <col width="40" customWidth="1" min="4" max="4"/>
    <col width="8" customWidth="1" min="5" max="5"/>
    <col width="62" customWidth="1" min="6" max="6"/>
  </cols>
  <sheetData>
    <row r="1">
      <c r="A1" s="26" t="inlineStr">
        <is>
          <t>PROVENANCE / TIE-OUT MAP -- where every workbook value appears in the bank's actual filed 10-Q/10-K.</t>
        </is>
      </c>
    </row>
    <row r="2">
      <c r="A2" s="25" t="inlineStr"/>
    </row>
    <row r="3">
      <c r="A3" s="25" t="inlineStr">
        <is>
          <t>SOURCE DOCUMENT: the quarterly 'Credit Quality Indicators' note (ASC 326-20-50-5: amortized cost by credit quality indicator, by class of financing receivable, by vintage for PBEs -- this tracker uses the GRADE TOTALS and IGNORES vintage line items, which would double-count).</t>
        </is>
      </c>
    </row>
    <row r="4">
      <c r="A4" s="25" t="inlineStr">
        <is>
          <t>XBRL LOCATION: facts on FinancingReceivableBeforeAllowanceForCreditLoss (or the ...ExcludingAccruedInterest... twin -- per-bank preference recorded in the TAG column of every landed quarter), dimensioned by us-gaap:InternalCreditAssessmentAxis x the class axis (FinancingReceivableRecordedInvestmentByClassOfFinancingReceivableAxis or FinancingReceivablePortfolioSegmentAxis). Parsed from the EDGAR-generated extracted XBRL instance (*_htm.xml) in each filing directory -- the convenience JSON APIs are structurally non-dimensional and CANNOT carry these tables (research-verified).</t>
        </is>
      </c>
    </row>
    <row r="5">
      <c r="A5" s="25" t="inlineStr">
        <is>
          <t>ACCESSION: recorded per fact (Raw_EDGAR fact blocks) and per quarter (canonical metric blocks + block header).</t>
        </is>
      </c>
    </row>
    <row r="6">
      <c r="A6" s="25" t="inlineStr"/>
    </row>
    <row r="7">
      <c r="A7" s="25" t="inlineStr">
        <is>
          <t>OPEN THE FILED DOCUMENT (keyed by CIK + accession, which this template already records):</t>
        </is>
      </c>
    </row>
    <row r="8">
      <c r="A8" s="25" t="inlineStr">
        <is>
          <t xml:space="preserve">  Filing directory:  https://www.sec.gov/Archives/edgar/data/{CIK}/{ACCESSION-NODASH}/</t>
        </is>
      </c>
    </row>
    <row r="9">
      <c r="A9" s="25" t="inlineStr">
        <is>
          <t xml:space="preserve">  Company filings:   https://www.sec.gov/cgi-bin/browse-edgar?action=getcompany&amp;CIK={CIK}&amp;type=10-Q&amp;dateb=&amp;owner=include&amp;count=40</t>
        </is>
      </c>
    </row>
    <row r="10">
      <c r="A10" s="25" t="inlineStr">
        <is>
          <t xml:space="preserve">  Submissions JSON:  https://data.sec.gov/submissions/CIK{CIK-10-DIGIT}.json</t>
        </is>
      </c>
    </row>
    <row r="11">
      <c r="A11" s="25" t="inlineStr">
        <is>
          <t xml:space="preserve">  (CIK is 10-digit zero-padded on data.sec.gov, UNPADDED in /Archives -- trap E8.)</t>
        </is>
      </c>
    </row>
    <row r="12">
      <c r="A12" s="25" t="inlineStr"/>
    </row>
    <row r="13">
      <c r="A13" s="25" t="inlineStr">
        <is>
          <t>TIE-OUT (minutes, from PowerShell): python runner.py -w &lt;book&gt;.xlsm --tieout &lt;CIK&gt; [quarter] prints each metric's value + tag + the member-level breakdown + accession + the filing-directory URL; open the 10-Q's Credit Quality Indicators note and match the amounts. --demo prints LOUDLY-LABELED deterministic fiction with the same provenance columns.</t>
        </is>
      </c>
    </row>
    <row r="14">
      <c r="A14" s="25" t="inlineStr"/>
    </row>
    <row r="15">
      <c r="A15" s="26" t="inlineStr">
        <is>
          <t>[UNIFORM INTERAGENCY DEFINITIONS -- QUOTED]</t>
        </is>
      </c>
    </row>
    <row r="16">
      <c r="A16" s="25" t="inlineStr">
        <is>
          <t>Lineage: interagency classification agreements 1938/1949/1979; the 2004 'Uniform Agreement on the Classification of Assets and Appraisal of Securities Held by Banks and Thrifts' (OCC/FRB/FDIC/OTS, June 15, 2004); Special Mention adopted interagency 1993 (FRB SR 93-30). Definitions as published in the OCC Comptroller's Handbook, 'Rating Credit Risk':</t>
        </is>
      </c>
    </row>
    <row r="17">
      <c r="A17" s="25" t="inlineStr"/>
    </row>
    <row r="18">
      <c r="A18" s="25" t="inlineStr">
        <is>
          <t>SPECIAL MENTION: "A special mention asset has potential weaknesses that deserve management's close attention. If left uncorrected, these potential weaknesses may result in deterioration of the repayment prospects for the asset or in the institution's credit position at some future date. Special mention assets are not adversely classified and do not expose an institution to sufficient risk to warrant adverse classification." (OCC Rating Credit Risk handbook; SR 93-30)</t>
        </is>
      </c>
    </row>
    <row r="19">
      <c r="A19" s="25" t="inlineStr"/>
    </row>
    <row r="20">
      <c r="A20" s="25" t="inlineStr">
        <is>
          <t>SUBSTANDARD: "A substandard asset is inadequately protected by the current sound worth and paying capacity of the obligor or of the collateral pledged, if any. Assets so classified must have a well-defined weakness or weaknesses that jeopardize the liquidation of the debt. They are characterized by the distinct possibility that the bank will sustain some loss if the deficiencies are not corrected." (2004 Uniform Agreement)</t>
        </is>
      </c>
    </row>
    <row r="21">
      <c r="A21" s="25" t="inlineStr"/>
    </row>
    <row r="22">
      <c r="A22" s="25" t="inlineStr">
        <is>
          <t>DOUBTFUL: "An asset classified doubtful has all the weaknesses inherent in one classified substandard with the added characteristic that the weaknesses make collection or liquidation in full, on the basis of currently existing facts, conditions, and values, highly questionable and improbable." (2004 Uniform Agreement)</t>
        </is>
      </c>
    </row>
    <row r="23">
      <c r="A23" s="25" t="inlineStr"/>
    </row>
    <row r="24">
      <c r="A24" s="25" t="inlineStr">
        <is>
          <t>LOSS: "Assets classified loss are considered uncollectible and of such little value that their continuance as bankable assets is not warranted. This classification does not mean that the asset has absolutely no recovery or salvage value, but rather that it is not practical or desirable to defer writing off this basically worthless asset even though partial recovery may be effected in the future." (2004 Uniform Agreement)</t>
        </is>
      </c>
    </row>
    <row r="25">
      <c r="A25" s="25" t="inlineStr"/>
    </row>
    <row r="26">
      <c r="A26" s="25" t="inlineStr">
        <is>
          <t>COMPOSITIONS (Shared National Credit program usage): CLASSIFIED = Substandard + Doubtful + Loss.  CRITICIZED = Special Mention + Classified.  There is NO standard us-gaap ClassifiedMember; us-gaap:CriticizedMember exists and PARENTS the SM/Substandard/Doubtful/Loss members (taxonomy-verified) -- filer-tagged subtotals are mapped grade='ignore' so they never double-count.</t>
        </is>
      </c>
    </row>
    <row r="27">
      <c r="A27" s="25" t="inlineStr"/>
    </row>
    <row r="28">
      <c r="A28" s="25" t="inlineStr">
        <is>
          <t>APPLICATION-TIMING CAVEAT (trap E9): the DEFINITIONS are uniform; the TIMING of downgrades is bank judgment and exam-cycle driven -- quarter-over-quarter moves partly reflect when each bank's review cycle runs, not only when credit deteriorated.</t>
        </is>
      </c>
    </row>
    <row r="29">
      <c r="A29" s="25" t="inlineStr"/>
    </row>
    <row r="30">
      <c r="A30" s="25" t="inlineStr">
        <is>
          <t>FLAGS: [V] = taxonomy/mechanics verified in COVERAGE_RESEARCH_EDGAR.md | [~] = derived/composed from [V] inputs | SEEDED = illustrative seed, resolved empirically by the first live fetch (member bootstrap).</t>
        </is>
      </c>
    </row>
    <row r="32">
      <c r="A32" s="27" t="inlineStr">
        <is>
          <t>[INPUTS + METRICS]</t>
        </is>
      </c>
    </row>
    <row r="33">
      <c r="A33" s="28" t="inlineStr">
        <is>
          <t>metric</t>
        </is>
      </c>
      <c r="B33" s="28" t="inlineStr">
        <is>
          <t>source document / note</t>
        </is>
      </c>
      <c r="C33" s="28" t="inlineStr">
        <is>
          <t>tag / axis</t>
        </is>
      </c>
      <c r="D33" s="28" t="inlineStr">
        <is>
          <t>accession</t>
        </is>
      </c>
      <c r="E33" s="28" t="inlineStr">
        <is>
          <t>flag</t>
        </is>
      </c>
      <c r="F33" s="28" t="inlineStr">
        <is>
          <t>notes</t>
        </is>
      </c>
    </row>
    <row r="34">
      <c r="A34" s="29" t="inlineStr">
        <is>
          <t>FinancingReceivableBeforeAllowanceForCreditLoss</t>
        </is>
      </c>
      <c r="B34" s="25" t="inlineStr">
        <is>
          <t>10-Q/10-K note: Credit Quality Indicators (ASC 326-20-50-5)</t>
        </is>
      </c>
      <c r="C34" s="29" t="inlineStr">
        <is>
          <t>line item; USD amortized cost</t>
        </is>
      </c>
      <c r="D34" s="25" t="inlineStr">
        <is>
          <t>accession recorded per fact (Raw_EDGAR fact block + metric block)</t>
        </is>
      </c>
      <c r="E34" s="25" t="inlineStr">
        <is>
          <t>[V]</t>
        </is>
      </c>
      <c r="F34" s="25" t="inlineStr">
        <is>
          <t>the pre-ASU-2022-02 disclosure style</t>
        </is>
      </c>
    </row>
    <row r="35">
      <c r="A35" s="29" t="inlineStr">
        <is>
          <t>FinancingReceivableExcludingAccruedInterestBeforeAllowanceForCreditLoss</t>
        </is>
      </c>
      <c r="B35" s="25" t="inlineStr">
        <is>
          <t>10-Q/10-K note: Credit Quality Indicators (ASC 326-20-50-5)</t>
        </is>
      </c>
      <c r="C35" s="29" t="inlineStr">
        <is>
          <t>line item; USD amortized cost excl. accrued interest</t>
        </is>
      </c>
      <c r="D35" s="25" t="inlineStr">
        <is>
          <t>accession recorded per fact (Raw_EDGAR fact block + metric block)</t>
        </is>
      </c>
      <c r="E35" s="25" t="inlineStr">
        <is>
          <t>[V]</t>
        </is>
      </c>
      <c r="F35" s="25" t="inlineStr">
        <is>
          <t>the accrued-interest twin (trap E2) -- per-bank preference</t>
        </is>
      </c>
    </row>
    <row r="36">
      <c r="A36" s="29" t="inlineStr">
        <is>
          <t>InternalCreditAssessmentAxis</t>
        </is>
      </c>
      <c r="B36" s="25" t="inlineStr">
        <is>
          <t>10-Q/10-K note: Credit Quality Indicators (ASC 326-20-50-5)</t>
        </is>
      </c>
      <c r="C36" s="29" t="inlineStr">
        <is>
          <t>axis; members = grade (Pass/SM/Substandard/Doubtful/Loss or bank dialect)</t>
        </is>
      </c>
      <c r="D36" s="25" t="inlineStr">
        <is>
          <t>accession recorded per fact (Raw_EDGAR fact block + metric block)</t>
        </is>
      </c>
      <c r="E36" s="25" t="inlineStr">
        <is>
          <t>[V]</t>
        </is>
      </c>
      <c r="F36" s="25" t="inlineStr">
        <is>
          <t>member qnames kept namespace-qualified; extensions bootstrap into [MEMBER_MAP] as unmapped (trap E4)</t>
        </is>
      </c>
    </row>
    <row r="37">
      <c r="A37" s="29" t="inlineStr">
        <is>
          <t>class axis</t>
        </is>
      </c>
      <c r="B37" s="25" t="inlineStr">
        <is>
          <t>10-Q/10-K note: Credit Quality Indicators (ASC 326-20-50-5)</t>
        </is>
      </c>
      <c r="C37" s="29" t="inlineStr">
        <is>
          <t>FinancingReceivableRecordedInvestmentByClassOfFinancingReceivableAxis (legacy name) or FinancingReceivablePortfolioSegmentAxis</t>
        </is>
      </c>
      <c r="D37" s="25" t="inlineStr">
        <is>
          <t>accession recorded per fact (Raw_EDGAR fact block + metric block)</t>
        </is>
      </c>
      <c r="E37" s="25" t="inlineStr">
        <is>
          <t>[V]</t>
        </is>
      </c>
      <c r="F37" s="25" t="inlineStr">
        <is>
          <t>coarse-mapped to ci/cre/construction/other_commercial via [CLASS_MAP] (trap E5); consumer classes excluded</t>
        </is>
      </c>
    </row>
    <row r="38">
      <c r="A38" s="29" t="inlineStr">
        <is>
          <t>vintage line items</t>
        </is>
      </c>
      <c r="B38" s="25" t="inlineStr">
        <is>
          <t>10-Q/10-K note: Credit Quality Indicators (ASC 326-20-50-5)</t>
        </is>
      </c>
      <c r="C38" s="29" t="inlineStr">
        <is>
          <t>IGNORED by exact-tag matching</t>
        </is>
      </c>
      <c r="D38" s="25" t="inlineStr">
        <is>
          <t>n/a</t>
        </is>
      </c>
      <c r="E38" s="25" t="inlineStr">
        <is>
          <t>[V]</t>
        </is>
      </c>
      <c r="F38" s="25" t="inlineStr">
        <is>
          <t>vintage is LINE ITEMS not an axis; grade totals are single facts -- summing vintages double-counts (trap E3)</t>
        </is>
      </c>
    </row>
    <row r="39">
      <c r="A39" s="29" t="inlineStr">
        <is>
          <t>8-K items array</t>
        </is>
      </c>
      <c r="B39" s="25" t="inlineStr">
        <is>
          <t>SEC form 8-K item numbers</t>
        </is>
      </c>
      <c r="C39" s="29" t="inlineStr">
        <is>
          <t>data.sec.gov/submissions CIK{10d}.json filings.recent.items[]</t>
        </is>
      </c>
      <c r="D39" s="25" t="inlineStr">
        <is>
          <t>accession recorded per event (Raw_EDGAR event block)</t>
        </is>
      </c>
      <c r="E39" s="25" t="inlineStr">
        <is>
          <t>[V]</t>
        </is>
      </c>
      <c r="F39" s="25" t="inlineStr">
        <is>
          <t>harvested from the SAME submissions response -- zero extra requests</t>
        </is>
      </c>
    </row>
    <row r="40">
      <c r="A40" s="29" t="inlineStr">
        <is>
          <t>criticized_ratio</t>
        </is>
      </c>
      <c r="B40" s="25" t="inlineStr">
        <is>
          <t>10-Q/10-K note: Credit Quality Indicators (ASC 326-20-50-5)</t>
        </is>
      </c>
      <c r="C40" s="29" t="inlineStr">
        <is>
          <t>FinancingReceivableBeforeAllowanceForCreditLoss or ...ExcludingAccruedInterest... twin (per-bank preference, recorded in the TAG column) x InternalCreditAssessmentAxis x class axis</t>
        </is>
      </c>
      <c r="D40" s="25" t="inlineStr">
        <is>
          <t>accession recorded per fact (Raw_EDGAR fact block + metric block)</t>
        </is>
      </c>
      <c r="E40" s="25" t="inlineStr">
        <is>
          <t>[~]</t>
        </is>
      </c>
      <c r="F40" s="25" t="inlineStr">
        <is>
          <t>(SM + Substandard + Doubtful + Loss | native criticized rows) / total commercial amortized cost x100; Tier 1 -- N/A for ig_nig/unmapped families</t>
        </is>
      </c>
    </row>
    <row r="41">
      <c r="A41" s="29" t="inlineStr">
        <is>
          <t>classified_ratio</t>
        </is>
      </c>
      <c r="B41" s="25" t="inlineStr">
        <is>
          <t>10-Q/10-K note: Credit Quality Indicators (ASC 326-20-50-5)</t>
        </is>
      </c>
      <c r="C41" s="29" t="inlineStr">
        <is>
          <t>FinancingReceivableBeforeAllowanceForCreditLoss or ...ExcludingAccruedInterest... twin (per-bank preference, recorded in the TAG column) x InternalCreditAssessmentAxis x class axis</t>
        </is>
      </c>
      <c r="D41" s="25" t="inlineStr">
        <is>
          <t>accession recorded per fact (Raw_EDGAR fact block + metric block)</t>
        </is>
      </c>
      <c r="E41" s="25" t="inlineStr">
        <is>
          <t>[~]</t>
        </is>
      </c>
      <c r="F41" s="25" t="inlineStr">
        <is>
          <t>(Substandard + Doubtful + Loss) / total commercial x100; Tier 2 -- grades_full families only (no standard ClassifiedMember exists)</t>
        </is>
      </c>
    </row>
    <row r="42">
      <c r="A42" s="29" t="inlineStr">
        <is>
          <t>sm_ratio</t>
        </is>
      </c>
      <c r="B42" s="25" t="inlineStr">
        <is>
          <t>10-Q/10-K note: Credit Quality Indicators (ASC 326-20-50-5)</t>
        </is>
      </c>
      <c r="C42" s="29" t="inlineStr">
        <is>
          <t>FinancingReceivableBeforeAllowanceForCreditLoss or ...ExcludingAccruedInterest... twin (per-bank preference, recorded in the TAG column) x InternalCreditAssessmentAxis x class axis</t>
        </is>
      </c>
      <c r="D42" s="25" t="inlineStr">
        <is>
          <t>accession recorded per fact (Raw_EDGAR fact block + metric block)</t>
        </is>
      </c>
      <c r="E42" s="25" t="inlineStr">
        <is>
          <t>[~]</t>
        </is>
      </c>
      <c r="F42" s="25" t="inlineStr">
        <is>
          <t>Special Mention / total commercial x100; Tier 2 -- grades_full only (SR 93-30 definition quoted above)</t>
        </is>
      </c>
    </row>
    <row r="43">
      <c r="A43" s="29" t="inlineStr">
        <is>
          <t>crit_qoq_delta</t>
        </is>
      </c>
      <c r="B43" s="25" t="inlineStr">
        <is>
          <t>10-Q/10-K note: Credit Quality Indicators (ASC 326-20-50-5)</t>
        </is>
      </c>
      <c r="C43" s="29" t="inlineStr">
        <is>
          <t>FinancingReceivableBeforeAllowanceForCreditLoss or ...ExcludingAccruedInterest... twin (per-bank preference, recorded in the TAG column) x InternalCreditAssessmentAxis x class axis</t>
        </is>
      </c>
      <c r="D43" s="25" t="inlineStr">
        <is>
          <t>accession recorded per fact (Raw_EDGAR fact block + metric block)</t>
        </is>
      </c>
      <c r="E43" s="25" t="inlineStr">
        <is>
          <t>[~]</t>
        </is>
      </c>
      <c r="F43" s="25" t="inlineStr">
        <is>
          <t>criticized_ratio[q] - criticized_ratio[q-1], percentage points; application-timing caveat E9 applies</t>
        </is>
      </c>
    </row>
    <row r="44">
      <c r="A44" s="29" t="inlineStr">
        <is>
          <t>crit_yoy_delta</t>
        </is>
      </c>
      <c r="B44" s="25" t="inlineStr">
        <is>
          <t>10-Q/10-K note: Credit Quality Indicators (ASC 326-20-50-5)</t>
        </is>
      </c>
      <c r="C44" s="29" t="inlineStr">
        <is>
          <t>FinancingReceivableBeforeAllowanceForCreditLoss or ...ExcludingAccruedInterest... twin (per-bank preference, recorded in the TAG column) x InternalCreditAssessmentAxis x class axis</t>
        </is>
      </c>
      <c r="D44" s="25" t="inlineStr">
        <is>
          <t>accession recorded per fact (Raw_EDGAR fact block + metric block)</t>
        </is>
      </c>
      <c r="E44" s="25" t="inlineStr">
        <is>
          <t>[~]</t>
        </is>
      </c>
      <c r="F44" s="25" t="inlineStr">
        <is>
          <t>criticized_ratio[q] - criticized_ratio[q-4], percentage points</t>
        </is>
      </c>
    </row>
    <row r="45">
      <c r="A45" s="29" t="inlineStr">
        <is>
          <t>crit_growth</t>
        </is>
      </c>
      <c r="B45" s="25" t="inlineStr">
        <is>
          <t>10-Q/10-K note: Credit Quality Indicators (ASC 326-20-50-5)</t>
        </is>
      </c>
      <c r="C45" s="29" t="inlineStr">
        <is>
          <t>FinancingReceivableBeforeAllowanceForCreditLoss or ...ExcludingAccruedInterest... twin (per-bank preference, recorded in the TAG column) x InternalCreditAssessmentAxis x class axis</t>
        </is>
      </c>
      <c r="D45" s="25" t="inlineStr">
        <is>
          <t>accession recorded per fact (Raw_EDGAR fact block + metric block)</t>
        </is>
      </c>
      <c r="E45" s="25" t="inlineStr">
        <is>
          <t>[~]</t>
        </is>
      </c>
      <c r="F45" s="25" t="inlineStr">
        <is>
          <t>criticized USD QoQ growth %</t>
        </is>
      </c>
    </row>
    <row r="46">
      <c r="A46" s="29" t="inlineStr">
        <is>
          <t>mix_ci</t>
        </is>
      </c>
      <c r="B46" s="25" t="inlineStr">
        <is>
          <t>10-Q/10-K note: Credit Quality Indicators (ASC 326-20-50-5)</t>
        </is>
      </c>
      <c r="C46" s="29" t="inlineStr">
        <is>
          <t>FinancingReceivableBeforeAllowanceForCreditLoss or ...ExcludingAccruedInterest... twin (per-bank preference, recorded in the TAG column) x InternalCreditAssessmentAxis x class axis</t>
        </is>
      </c>
      <c r="D46" s="25" t="inlineStr">
        <is>
          <t>accession recorded per fact (Raw_EDGAR fact block + metric block)</t>
        </is>
      </c>
      <c r="E46" s="25" t="inlineStr">
        <is>
          <t>[~]</t>
        </is>
      </c>
      <c r="F46" s="25" t="inlineStr">
        <is>
          <t>criticized USD share mapped [CLASS_MAP]=ci</t>
        </is>
      </c>
    </row>
    <row r="47">
      <c r="A47" s="29" t="inlineStr">
        <is>
          <t>mix_cre</t>
        </is>
      </c>
      <c r="B47" s="25" t="inlineStr">
        <is>
          <t>10-Q/10-K note: Credit Quality Indicators (ASC 326-20-50-5)</t>
        </is>
      </c>
      <c r="C47" s="29" t="inlineStr">
        <is>
          <t>FinancingReceivableBeforeAllowanceForCreditLoss or ...ExcludingAccruedInterest... twin (per-bank preference, recorded in the TAG column) x InternalCreditAssessmentAxis x class axis</t>
        </is>
      </c>
      <c r="D47" s="25" t="inlineStr">
        <is>
          <t>accession recorded per fact (Raw_EDGAR fact block + metric block)</t>
        </is>
      </c>
      <c r="E47" s="25" t="inlineStr">
        <is>
          <t>[~]</t>
        </is>
      </c>
      <c r="F47" s="25" t="inlineStr">
        <is>
          <t>criticized USD share mapped [CLASS_MAP]=cre</t>
        </is>
      </c>
    </row>
    <row r="48">
      <c r="A48" s="29" t="inlineStr">
        <is>
          <t>mix_construction</t>
        </is>
      </c>
      <c r="B48" s="25" t="inlineStr">
        <is>
          <t>10-Q/10-K note: Credit Quality Indicators (ASC 326-20-50-5)</t>
        </is>
      </c>
      <c r="C48" s="29" t="inlineStr">
        <is>
          <t>FinancingReceivableBeforeAllowanceForCreditLoss or ...ExcludingAccruedInterest... twin (per-bank preference, recorded in the TAG column) x InternalCreditAssessmentAxis x class axis</t>
        </is>
      </c>
      <c r="D48" s="25" t="inlineStr">
        <is>
          <t>accession recorded per fact (Raw_EDGAR fact block + metric block)</t>
        </is>
      </c>
      <c r="E48" s="25" t="inlineStr">
        <is>
          <t>[~]</t>
        </is>
      </c>
      <c r="F48" s="25" t="inlineStr">
        <is>
          <t>criticized USD share mapped [CLASS_MAP]=construction</t>
        </is>
      </c>
    </row>
    <row r="49">
      <c r="A49" s="29" t="inlineStr">
        <is>
          <t>mix_other</t>
        </is>
      </c>
      <c r="B49" s="25" t="inlineStr">
        <is>
          <t>10-Q/10-K note: Credit Quality Indicators (ASC 326-20-50-5)</t>
        </is>
      </c>
      <c r="C49" s="29" t="inlineStr">
        <is>
          <t>FinancingReceivableBeforeAllowanceForCreditLoss or ...ExcludingAccruedInterest... twin (per-bank preference, recorded in the TAG column) x InternalCreditAssessmentAxis x class axis</t>
        </is>
      </c>
      <c r="D49" s="25" t="inlineStr">
        <is>
          <t>accession recorded per fact (Raw_EDGAR fact block + metric block)</t>
        </is>
      </c>
      <c r="E49" s="25" t="inlineStr">
        <is>
          <t>[~]</t>
        </is>
      </c>
      <c r="F49" s="25" t="inlineStr">
        <is>
          <t>criticized USD share mapped [CLASS_MAP]=other_commercial</t>
        </is>
      </c>
    </row>
    <row r="50">
      <c r="A50" s="29" t="inlineStr">
        <is>
          <t>events_8k</t>
        </is>
      </c>
      <c r="B50" s="25" t="inlineStr">
        <is>
          <t>Form 8-K items 1.03 / 2.04 / 2.06 / 4.02 (+2.02 informational)</t>
        </is>
      </c>
      <c r="C50" s="29" t="inlineStr">
        <is>
          <t>submissions JSON items[] (columnar arrays)</t>
        </is>
      </c>
      <c r="D50" s="25" t="inlineStr">
        <is>
          <t>accession + filing-directory URL per event row</t>
        </is>
      </c>
      <c r="E50" s="25" t="inlineStr">
        <is>
          <t>[V]</t>
        </is>
      </c>
      <c r="F50" s="25" t="inlineStr">
        <is>
          <t>any 2.04/4.02/1.03 = automatic WATCH flag on the bank</t>
        </is>
      </c>
    </row>
    <row r="52">
      <c r="A52" s="25" t="inlineStr">
        <is>
          <t># Every canonical metric has a row here. Sample-verify from PowerShell: python runner.py -w &lt;book&gt;.xlsm --tieout &lt;CIK&gt; [quarter] (--demo prints labeled demo values).</t>
        </is>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137"/>
  <sheetViews>
    <sheetView showGridLines="0" workbookViewId="0">
      <selection activeCell="A1" sqref="A1"/>
    </sheetView>
  </sheetViews>
  <sheetFormatPr baseColWidth="8" defaultRowHeight="15"/>
  <cols>
    <col width="120" customWidth="1" min="1" max="1"/>
  </cols>
  <sheetData>
    <row r="1">
      <c r="A1" s="29" t="inlineStr">
        <is>
          <t>#!/usr/bin/env python3</t>
        </is>
      </c>
    </row>
    <row r="2">
      <c r="A2" s="29" t="inlineStr">
        <is>
          <t>"""EDGAR Criticized/Classified Tracker -- runner (the data path).</t>
        </is>
      </c>
    </row>
    <row r="3">
      <c r="A3" s="29" t="inlineStr"/>
    </row>
    <row r="4">
      <c r="A4" s="29" t="inlineStr">
        <is>
          <t>Single source of truth for the data path; embedded verbatim into the workbook's</t>
        </is>
      </c>
    </row>
    <row r="5">
      <c r="A5" s="29" t="inlineStr">
        <is>
          <t>_code_py tab. The VBA ExtractFiles macro writes this back out as runner.py and</t>
        </is>
      </c>
    </row>
    <row r="6">
      <c r="A6" s="29" t="inlineStr">
        <is>
          <t>the user runs it from PowerShell against the CLOSED workbook (openpyxl backend).</t>
        </is>
      </c>
    </row>
    <row r="7">
      <c r="A7" s="29" t="inlineStr"/>
    </row>
    <row r="8">
      <c r="A8" s="29" t="inlineStr">
        <is>
          <t>Built to BUILD_SPEC_EDGAR.md (grounded in COVERAGE_RESEARCH_EDGAR.md), governed</t>
        </is>
      </c>
    </row>
    <row r="9">
      <c r="A9" s="29" t="inlineStr">
        <is>
          <t>by TEMPLATE_CONTRACT.md. THE MISSION: whose commercial book is being risk-rated</t>
        </is>
      </c>
    </row>
    <row r="10">
      <c r="A10" s="29" t="inlineStr">
        <is>
          <t>down -- before delinquency shows it? Quarterly criticized/classified per</t>
        </is>
      </c>
    </row>
    <row r="11">
      <c r="A11" s="29" t="inlineStr">
        <is>
          <t>competitor HOLDING COMPANY from its own filed 10-Q/10-K credit-quality tables</t>
        </is>
      </c>
    </row>
    <row r="12">
      <c r="A12" s="29" t="inlineStr">
        <is>
          <t>(ASC 326-20-50-5 credit quality indicators), plus an 8-K credit-event lane.</t>
        </is>
      </c>
    </row>
    <row r="13">
      <c r="A13" s="29" t="inlineStr"/>
    </row>
    <row r="14">
      <c r="A14" s="29" t="inlineStr">
        <is>
          <t>The [PEERS] CIK list IS the watchlist (contract sec 13): slot | cik | name |</t>
        </is>
      </c>
    </row>
    <row r="15">
      <c r="A15" s="29" t="inlineStr">
        <is>
          <t>ticker | active, expandable by config edit within built slot capacity. Raw</t>
        </is>
      </c>
    </row>
    <row r="16">
      <c r="A16" s="29" t="inlineStr">
        <is>
          <t>anchors depend ONLY on the slot, so editing WHICH bank occupies a slot moves</t>
        </is>
      </c>
    </row>
    <row r="17">
      <c r="A17" s="29" t="inlineStr">
        <is>
          <t>no formula.</t>
        </is>
      </c>
    </row>
    <row r="18">
      <c r="A18" s="29" t="inlineStr"/>
    </row>
    <row r="19">
      <c r="A19" s="29" t="inlineStr">
        <is>
          <t>Clean seams (BUILD SPEC 0.3 / contract sec 6):</t>
        </is>
      </c>
    </row>
    <row r="20">
      <c r="A20" s="29" t="inlineStr">
        <is>
          <t xml:space="preserve">  * PROVIDER SEAM -- one provider (EDGAR), isolated, plain urllib, KEYLESS,</t>
        </is>
      </c>
    </row>
    <row r="21">
      <c r="A21" s="29" t="inlineStr">
        <is>
          <t xml:space="preserve">    but a declared User-Agent "{org} {email}" is REQUIRED on every live</t>
        </is>
      </c>
    </row>
    <row r="22">
      <c r="A22" s="29" t="inlineStr">
        <is>
          <t xml:space="preserve">    request (absent/generic UA = silent 403 + ~10-min IP block). Two</t>
        </is>
      </c>
    </row>
    <row r="23">
      <c r="A23" s="29" t="inlineStr">
        <is>
          <t xml:space="preserve">    implementations: EdgarProvider (live, two-stage) + EdgarDemoProvider</t>
        </is>
      </c>
    </row>
    <row r="24">
      <c r="A24" s="29" t="inlineStr">
        <is>
          <t xml:space="preserve">    (offline deterministic -- every test uses it).</t>
        </is>
      </c>
    </row>
    <row r="25">
      <c r="A25" s="29" t="inlineStr">
        <is>
          <t xml:space="preserve">  * DISCLOSURE-DIALECT HONESTY (BUILD SPEC 0.6) -- each bank carries a</t>
        </is>
      </c>
    </row>
    <row r="26">
      <c r="A26" s="29" t="inlineStr">
        <is>
          <t xml:space="preserve">    `family` flag (grades_full | criticized_only | ig_nig | unmapped)</t>
        </is>
      </c>
    </row>
    <row r="27">
      <c r="A27" s="29" t="inlineStr">
        <is>
          <t xml:space="preserve">    derived from its [MEMBER_MAP] rows. Metrics a family cannot support</t>
        </is>
      </c>
    </row>
    <row r="28">
      <c r="A28" s="29" t="inlineStr">
        <is>
          <t xml:space="preserve">    render "N/A (family)" -- never approximated. Newly observed members</t>
        </is>
      </c>
    </row>
    <row r="29">
      <c r="A29" s="29" t="inlineStr">
        <is>
          <t xml:space="preserve">    bootstrap into [MEMBER_MAP] as grade="unmapped" and are flagged --</t>
        </is>
      </c>
    </row>
    <row r="30">
      <c r="A30" s="29" t="inlineStr">
        <is>
          <t xml:space="preserve">    never silently guessed (contract sec 13).</t>
        </is>
      </c>
    </row>
    <row r="31">
      <c r="A31" s="29" t="inlineStr">
        <is>
          <t xml:space="preserve">  * METRIC ENGINE -- canonical rollups computed here for the digest AND</t>
        </is>
      </c>
    </row>
    <row r="32">
      <c r="A32" s="29" t="inlineStr">
        <is>
          <t xml:space="preserve">    landed into per-slot canonical metric blocks so the dashboard formulas</t>
        </is>
      </c>
    </row>
    <row r="33">
      <c r="A33" s="29" t="inlineStr">
        <is>
          <t xml:space="preserve">    stay simple references; the member-level facts land in per-slot fact</t>
        </is>
      </c>
    </row>
    <row r="34">
      <c r="A34" s="29" t="inlineStr">
        <is>
          <t xml:space="preserve">    blocks as the audit trail (accession per fact -- contract sec 12).</t>
        </is>
      </c>
    </row>
    <row r="35">
      <c r="A35" s="29" t="inlineStr">
        <is>
          <t xml:space="preserve">  * WATCHLIST VALIDATOR -- DEFAULT-DENY: only ^cik:[0-9]{1,10}$ keys are</t>
        </is>
      </c>
    </row>
    <row r="36">
      <c r="A36" s="29" t="inlineStr">
        <is>
          <t xml:space="preserve">    admitted; blank/malformed CIKs are refused BY NAME with a --lookup hint.</t>
        </is>
      </c>
    </row>
    <row r="37">
      <c r="A37" s="29" t="inlineStr">
        <is>
          <t xml:space="preserve">  * STALENESS GUARD -- a bank whose latest CQI quarter lags the peer-set max</t>
        </is>
      </c>
    </row>
    <row r="38">
      <c r="A38" s="29" t="inlineStr">
        <is>
          <t xml:space="preserve">    by more than stale_multiplier quarters is STALE (late filer/delisted?),</t>
        </is>
      </c>
    </row>
    <row r="39">
      <c r="A39" s="29" t="inlineStr">
        <is>
          <t xml:space="preserve">    excluded from alert counts.</t>
        </is>
      </c>
    </row>
    <row r="40">
      <c r="A40" s="29" t="inlineStr"/>
    </row>
    <row r="41">
      <c r="A41" s="29" t="inlineStr">
        <is>
          <t>Traps carried (COVERAGE_RESEARCH_EDGAR.md E1-E10): E1 convenience APIs are</t>
        </is>
      </c>
    </row>
    <row r="42">
      <c r="A42" s="29" t="inlineStr">
        <is>
          <t>non-dimensional (extracted instances only for CQI) - E2 accrued-interest twin</t>
        </is>
      </c>
    </row>
    <row r="43">
      <c r="A43" s="29" t="inlineStr">
        <is>
          <t>tags (per-bank preference) - E3 vintage line items IGNORED (grade totals are</t>
        </is>
      </c>
    </row>
    <row r="44">
      <c r="A44" s="29" t="inlineStr">
        <is>
          <t>single facts; summing vintages double-counts) - E4 extension members</t>
        </is>
      </c>
    </row>
    <row r="45">
      <c r="A45" s="29" t="inlineStr">
        <is>
          <t>(bootstrap + drift flag) - E5 class taxonomies differ (coarse [CLASS_MAP]) -</t>
        </is>
      </c>
    </row>
    <row r="46">
      <c r="A46" s="29" t="inlineStr">
        <is>
          <t>E6 no Q4 10-Q (Q4 = the 10-K, 60-90d lag) - E7 amendment dedupe by latest</t>
        </is>
      </c>
    </row>
    <row r="47">
      <c r="A47" s="29" t="inlineStr">
        <is>
          <t>acceptanceDateTime - E8 CIK padding split (10-digit on data.sec.gov, unpadded</t>
        </is>
      </c>
    </row>
    <row r="48">
      <c r="A48" s="29" t="inlineStr">
        <is>
          <t>in /Archives) - E9 uniform definitions, bank-specific application timing -</t>
        </is>
      </c>
    </row>
    <row r="49">
      <c r="A49" s="29" t="inlineStr">
        <is>
          <t>E10 corporate proxies block sec.gov (--selftest + allowlist note).</t>
        </is>
      </c>
    </row>
    <row r="50">
      <c r="A50" s="29" t="inlineStr"/>
    </row>
    <row r="51">
      <c r="A51" s="29" t="inlineStr">
        <is>
          <t>No AI/LLM anywhere; every computation is deterministic (BUILD SPEC 0.5).</t>
        </is>
      </c>
    </row>
    <row r="52">
      <c r="A52" s="29" t="inlineStr">
        <is>
          <t>Pure ASCII (L3).</t>
        </is>
      </c>
    </row>
    <row r="53">
      <c r="A53" s="29" t="inlineStr">
        <is>
          <t>"""</t>
        </is>
      </c>
    </row>
    <row r="54">
      <c r="A54" s="29" t="inlineStr">
        <is>
          <t>from __future__ import annotations</t>
        </is>
      </c>
    </row>
    <row r="55">
      <c r="A55" s="29" t="inlineStr"/>
    </row>
    <row r="56">
      <c r="A56" s="29" t="inlineStr">
        <is>
          <t>import argparse</t>
        </is>
      </c>
    </row>
    <row r="57">
      <c r="A57" s="29" t="inlineStr">
        <is>
          <t>import json</t>
        </is>
      </c>
    </row>
    <row r="58">
      <c r="A58" s="29" t="inlineStr">
        <is>
          <t>import math</t>
        </is>
      </c>
    </row>
    <row r="59">
      <c r="A59" s="29" t="inlineStr">
        <is>
          <t>import os</t>
        </is>
      </c>
    </row>
    <row r="60">
      <c r="A60" s="29" t="inlineStr">
        <is>
          <t>import re</t>
        </is>
      </c>
    </row>
    <row r="61">
      <c r="A61" s="29" t="inlineStr">
        <is>
          <t>import sys</t>
        </is>
      </c>
    </row>
    <row r="62">
      <c r="A62" s="29" t="inlineStr">
        <is>
          <t>import time</t>
        </is>
      </c>
    </row>
    <row r="63">
      <c r="A63" s="29" t="inlineStr">
        <is>
          <t>from dataclasses import dataclass, field</t>
        </is>
      </c>
    </row>
    <row r="64">
      <c r="A64" s="29" t="inlineStr">
        <is>
          <t>from datetime import date, datetime, timedelta</t>
        </is>
      </c>
    </row>
    <row r="65">
      <c r="A65" s="29" t="inlineStr">
        <is>
          <t>from typing import Dict, List, Optional, Sequence, Set, Tuple</t>
        </is>
      </c>
    </row>
    <row r="66">
      <c r="A66" s="29" t="inlineStr"/>
    </row>
    <row r="67">
      <c r="A67" s="29" t="inlineStr">
        <is>
          <t>import pandas as pd</t>
        </is>
      </c>
    </row>
    <row r="68">
      <c r="A68" s="29" t="inlineStr"/>
    </row>
    <row r="69">
      <c r="A69" s="29" t="inlineStr">
        <is>
          <t># ---------------------------------------------------------------------------</t>
        </is>
      </c>
    </row>
    <row r="70">
      <c r="A70" s="29" t="inlineStr">
        <is>
          <t># Fixed raw-block geometry: ONE block per PEER SLOT in Raw_EDGAR. Each block:</t>
        </is>
      </c>
    </row>
    <row r="71">
      <c r="A71" s="29" t="inlineStr">
        <is>
          <t>#   header row   (slot label + runtime identity: unit key, name, family,</t>
        </is>
      </c>
    </row>
    <row r="72">
      <c r="A72" s="29" t="inlineStr">
        <is>
          <t>#                 latest accession, tag preference)</t>
        </is>
      </c>
    </row>
    <row r="73">
      <c r="A73" s="29" t="inlineStr">
        <is>
          <t>#   label row    (metric column labels)</t>
        </is>
      </c>
    </row>
    <row r="74">
      <c r="A74" s="29" t="inlineStr">
        <is>
          <t>#   raw_slots    quarterly CANONICAL METRIC rows, newest-first (dashboards</t>
        </is>
      </c>
    </row>
    <row r="75">
      <c r="A75" s="29" t="inlineStr">
        <is>
          <t>#                read THESE -- rollups land as values, formulas stay simple)</t>
        </is>
      </c>
    </row>
    <row r="76">
      <c r="A76" s="29" t="inlineStr">
        <is>
          <t>#   facts label + FACT_ROWS latest-quarter MEMBER-LEVEL fact rows (the audit</t>
        </is>
      </c>
    </row>
    <row r="77">
      <c r="A77" s="29" t="inlineStr">
        <is>
          <t>#                trail: class x grade member amounts + accession per fact)</t>
        </is>
      </c>
    </row>
    <row r="78">
      <c r="A78" s="29" t="inlineStr">
        <is>
          <t>#   events label + EVENT_ROWS 8-K event rows (trailing 4 quarters)</t>
        </is>
      </c>
    </row>
    <row r="79">
      <c r="A79" s="29" t="inlineStr">
        <is>
          <t># Anchors depend only on (slot, raw_slots) -- never on which bank occupies</t>
        </is>
      </c>
    </row>
    <row r="80">
      <c r="A80" s="29" t="inlineStr">
        <is>
          <t># the slot -- so dashboard formulas survive any [PEERS] edit.</t>
        </is>
      </c>
    </row>
    <row r="81">
      <c r="A81" s="29" t="inlineStr">
        <is>
          <t># ---------------------------------------------------------------------------</t>
        </is>
      </c>
    </row>
    <row r="82">
      <c r="A82" s="29" t="inlineStr">
        <is>
          <t>RAW_TAB = "Raw_EDGAR"</t>
        </is>
      </c>
    </row>
    <row r="83">
      <c r="A83" s="29" t="inlineStr">
        <is>
          <t>RAW_SLOTS_DEFAULT = 12         # quarters kept per bank (newest-first)</t>
        </is>
      </c>
    </row>
    <row r="84">
      <c r="A84" s="29" t="inlineStr">
        <is>
          <t>PEER_SLOTS_DEFAULT = 20        # BUILT peer capacity (make_workbook.py --peer-slots)</t>
        </is>
      </c>
    </row>
    <row r="85">
      <c r="A85" s="29" t="inlineStr">
        <is>
          <t>FACT_ROWS = 36                 # latest-quarter member-fact audit rows per slot</t>
        </is>
      </c>
    </row>
    <row r="86">
      <c r="A86" s="29" t="inlineStr">
        <is>
          <t>EVENT_ROWS = 8                 # 8-K event rows per slot (trailing 4 quarters)</t>
        </is>
      </c>
    </row>
    <row r="87">
      <c r="A87" s="29" t="inlineStr">
        <is>
          <t>RAW_FIRST_ROW = 2</t>
        </is>
      </c>
    </row>
    <row r="88">
      <c r="A88" s="29" t="inlineStr"/>
    </row>
    <row r="89">
      <c r="A89" s="29" t="inlineStr">
        <is>
          <t># Canonical metric block columns (B onward). ACCESSION/TAG are per-quarter</t>
        </is>
      </c>
    </row>
    <row r="90">
      <c r="A90" s="29" t="inlineStr">
        <is>
          <t># provenance text columns (contract sec 12: accession recorded per value).</t>
        </is>
      </c>
    </row>
    <row r="91">
      <c r="A91" s="29" t="inlineStr">
        <is>
          <t>RAW_METRIC_COLS = [</t>
        </is>
      </c>
    </row>
    <row r="92">
      <c r="A92" s="29" t="inlineStr">
        <is>
          <t xml:space="preserve">    "CRIT_RATIO", "CLASS_RATIO", "SM_RATIO",</t>
        </is>
      </c>
    </row>
    <row r="93">
      <c r="A93" s="29" t="inlineStr">
        <is>
          <t xml:space="preserve">    "CRIT_QOQ", "CRIT_YOY", "CRIT_GROWTH",</t>
        </is>
      </c>
    </row>
    <row r="94">
      <c r="A94" s="29" t="inlineStr">
        <is>
          <t xml:space="preserve">    "CRIT_USD", "CLASS_USD", "SM_USD", "TOTAL_COMM_USD",</t>
        </is>
      </c>
    </row>
    <row r="95">
      <c r="A95" s="29" t="inlineStr">
        <is>
          <t xml:space="preserve">    "MIX_CI", "MIX_CRE", "MIX_CONSTR", "MIX_OTHER",</t>
        </is>
      </c>
    </row>
    <row r="96">
      <c r="A96" s="29" t="inlineStr">
        <is>
          <t xml:space="preserve">    "ACCESSION", "TAG",</t>
        </is>
      </c>
    </row>
    <row r="97">
      <c r="A97" s="29" t="inlineStr">
        <is>
          <t>]</t>
        </is>
      </c>
    </row>
    <row r="98">
      <c r="A98" s="29" t="inlineStr">
        <is>
          <t>FACT_COLS = ["period", "class_qname", "class", "member_qname", "grade",</t>
        </is>
      </c>
    </row>
    <row r="99">
      <c r="A99" s="29" t="inlineStr">
        <is>
          <t xml:space="preserve">             "value_usd", "tag", "accession"]</t>
        </is>
      </c>
    </row>
    <row r="100">
      <c r="A100" s="29" t="inlineStr">
        <is>
          <t>EVENT_COLS = ["date", "item", "form", "accession", "url"]</t>
        </is>
      </c>
    </row>
    <row r="101">
      <c r="A101" s="29" t="inlineStr"/>
    </row>
    <row r="102">
      <c r="A102" s="29" t="inlineStr">
        <is>
          <t>STATUS_COL = 12                # column L (Dashboard_Criticized is 11 wide)</t>
        </is>
      </c>
    </row>
    <row r="103">
      <c r="A103" s="29" t="inlineStr">
        <is>
          <t>STATUS_COL_BY_TAB = {"Dashboard_Mix_Events": 16}   # wider tab -&gt; column P</t>
        </is>
      </c>
    </row>
    <row r="104">
      <c r="A104" s="29" t="inlineStr">
        <is>
          <t>DASH_TABS = ("Dashboard_Criticized", "Dashboard_Mix_Events")</t>
        </is>
      </c>
    </row>
    <row r="105">
      <c r="A105" s="29" t="inlineStr"/>
    </row>
    <row r="106">
      <c r="A106" s="29" t="inlineStr">
        <is>
          <t>PACK_VERSION = "1.0"</t>
        </is>
      </c>
    </row>
    <row r="107">
      <c r="A107" s="29" t="inlineStr"/>
    </row>
    <row r="108">
      <c r="A108" s="29" t="inlineStr">
        <is>
          <t># The watchlist join-key whitelist (BUILD SPEC 0.1): default-deny. Only a</t>
        </is>
      </c>
    </row>
    <row r="109">
      <c r="A109" s="29" t="inlineStr">
        <is>
          <t># literal SEC CIK key passes; name-only rows, tickers-as-keys and</t>
        </is>
      </c>
    </row>
    <row r="110">
      <c r="A110" s="29" t="inlineStr">
        <is>
          <t># unanticipated key forms are refused.</t>
        </is>
      </c>
    </row>
    <row r="111">
      <c r="A111" s="29" t="inlineStr">
        <is>
          <t>ENTITY_KEY_PATTERN = r"^cik:[0-9]{1,10}$"</t>
        </is>
      </c>
    </row>
    <row r="112">
      <c r="A112" s="29" t="inlineStr"/>
    </row>
    <row r="113">
      <c r="A113" s="29" t="inlineStr">
        <is>
          <t>QUARTER_DAYS = 92</t>
        </is>
      </c>
    </row>
    <row r="114">
      <c r="A114" s="29" t="inlineStr">
        <is>
          <t>EVENT_WINDOW_DAYS = 366        # the 8-K lane keeps trailing ~4 quarters</t>
        </is>
      </c>
    </row>
    <row r="115">
      <c r="A115" s="29" t="inlineStr"/>
    </row>
    <row r="116">
      <c r="A116" s="29" t="inlineStr">
        <is>
          <t># --- taxonomy constants (verified in COVERAGE_RESEARCH_EDGAR.md) -----------</t>
        </is>
      </c>
    </row>
    <row r="117">
      <c r="A117" s="29" t="inlineStr">
        <is>
          <t>TAG_PRIMARY = "FinancingReceivableBeforeAllowanceForCreditLoss"</t>
        </is>
      </c>
    </row>
    <row r="118">
      <c r="A118" s="29" t="inlineStr">
        <is>
          <t>TAG_EXCL = ("FinancingReceivableExcludingAccruedInterest"</t>
        </is>
      </c>
    </row>
    <row r="119">
      <c r="A119" s="29" t="inlineStr">
        <is>
          <t xml:space="preserve">            "BeforeAllowanceForCreditLoss")</t>
        </is>
      </c>
    </row>
    <row r="120">
      <c r="A120" s="29" t="inlineStr">
        <is>
          <t>CQI_TAGS = (TAG_PRIMARY, TAG_EXCL)</t>
        </is>
      </c>
    </row>
    <row r="121">
      <c r="A121" s="29" t="inlineStr">
        <is>
          <t>CQI_AXIS = "InternalCreditAssessmentAxis"</t>
        </is>
      </c>
    </row>
    <row r="122">
      <c r="A122" s="29" t="inlineStr">
        <is>
          <t># The class axis keeps its legacy name; many filers dimension the same table</t>
        </is>
      </c>
    </row>
    <row r="123">
      <c r="A123" s="29" t="inlineStr">
        <is>
          <t># by the portfolio-segment axis instead -- both accepted, legacy preferred.</t>
        </is>
      </c>
    </row>
    <row r="124">
      <c r="A124" s="29" t="inlineStr">
        <is>
          <t>CLASS_AXES = ("FinancingReceivableRecordedInvestmentByClassOf"</t>
        </is>
      </c>
    </row>
    <row r="125">
      <c r="A125" s="29" t="inlineStr">
        <is>
          <t xml:space="preserve">              "FinancingReceivableAxis",</t>
        </is>
      </c>
    </row>
    <row r="126">
      <c r="A126" s="29" t="inlineStr">
        <is>
          <t xml:space="preserve">              "FinancingReceivablePortfolioSegmentAxis")</t>
        </is>
      </c>
    </row>
    <row r="127">
      <c r="A127" s="29" t="inlineStr">
        <is>
          <t>US_GAAP_URI_HINT = "fasb.org/us-gaap"</t>
        </is>
      </c>
    </row>
    <row r="128">
      <c r="A128" s="29" t="inlineStr"/>
    </row>
    <row r="129">
      <c r="A129" s="29" t="inlineStr">
        <is>
          <t># --- canonical grades / classes / families ---------------------------------</t>
        </is>
      </c>
    </row>
    <row r="130">
      <c r="A130" s="29" t="inlineStr">
        <is>
          <t>GRADES = ("pass", "special_mention", "substandard", "doubtful", "loss",</t>
        </is>
      </c>
    </row>
    <row r="131">
      <c r="A131" s="29" t="inlineStr">
        <is>
          <t xml:space="preserve">          "criticized_accruing", "criticized_nonaccruing",</t>
        </is>
      </c>
    </row>
    <row r="132">
      <c r="A132" s="29" t="inlineStr">
        <is>
          <t xml:space="preserve">          "investment_grade", "noninvestment_grade", "ignore", "unmapped")</t>
        </is>
      </c>
    </row>
    <row r="133">
      <c r="A133" s="29" t="inlineStr">
        <is>
          <t># NOTE: "ignore" is for filer-tagged SUBTOTAL members (us-gaap:CriticizedMember</t>
        </is>
      </c>
    </row>
    <row r="134">
      <c r="A134" s="29" t="inlineStr">
        <is>
          <t># parents SM/Substandard/Doubtful/Loss -- counting it alongside its leaves</t>
        </is>
      </c>
    </row>
    <row r="135">
      <c r="A135" s="29" t="inlineStr">
        <is>
          <t># would double-count); "investment_grade"/"noninvestment_grade" carry the</t>
        </is>
      </c>
    </row>
    <row r="136">
      <c r="A136" s="29" t="inlineStr">
        <is>
          <t># ig_nig dialect without flooding the unmapped lane.</t>
        </is>
      </c>
    </row>
    <row r="137">
      <c r="A137" s="29" t="inlineStr">
        <is>
          <t>CRITICIZED_GRADES = {"special_mention", "substandard", "doubtful", "loss",</t>
        </is>
      </c>
    </row>
    <row r="138">
      <c r="A138" s="29" t="inlineStr">
        <is>
          <t xml:space="preserve">                     "criticized_accruing", "criticized_nonaccruing"}</t>
        </is>
      </c>
    </row>
    <row r="139">
      <c r="A139" s="29" t="inlineStr">
        <is>
          <t>CLASSIFIED_GRADES = {"substandard", "doubtful", "loss"}</t>
        </is>
      </c>
    </row>
    <row r="140">
      <c r="A140" s="29" t="inlineStr">
        <is>
          <t>CLASSES = ("ci", "cre", "construction", "other_commercial")</t>
        </is>
      </c>
    </row>
    <row r="141">
      <c r="A141" s="29" t="inlineStr">
        <is>
          <t>CLASS_VALUES = CLASSES + ("excluded", "unmapped")</t>
        </is>
      </c>
    </row>
    <row r="142">
      <c r="A142" s="29" t="inlineStr">
        <is>
          <t>FAMILIES = ("grades_full", "criticized_only", "ig_nig", "unmapped")</t>
        </is>
      </c>
    </row>
    <row r="143">
      <c r="A143" s="29" t="inlineStr"/>
    </row>
    <row r="144">
      <c r="A144" s="29" t="inlineStr">
        <is>
          <t># --- 8-K item lane (harvested from the submissions `items` array) ----------</t>
        </is>
      </c>
    </row>
    <row r="145">
      <c r="A145" s="29" t="inlineStr">
        <is>
          <t>HARVEST_ITEMS = ("1.03", "2.04", "2.06", "4.02", "2.02")</t>
        </is>
      </c>
    </row>
    <row r="146">
      <c r="A146" s="29" t="inlineStr">
        <is>
          <t>WATCH_ITEMS = ("2.04", "4.02", "1.03")     # automatic WATCH flag on the bank</t>
        </is>
      </c>
    </row>
    <row r="147">
      <c r="A147" s="29" t="inlineStr">
        <is>
          <t>ITEM_LABEL = {</t>
        </is>
      </c>
    </row>
    <row r="148">
      <c r="A148" s="29" t="inlineStr">
        <is>
          <t xml:space="preserve">    "1.03": "bankruptcy/receivership",</t>
        </is>
      </c>
    </row>
    <row r="149">
      <c r="A149" s="29" t="inlineStr">
        <is>
          <t xml:space="preserve">    "2.04": "triggering events / debt acceleration",</t>
        </is>
      </c>
    </row>
    <row r="150">
      <c r="A150" s="29" t="inlineStr">
        <is>
          <t xml:space="preserve">    "2.06": "material impairment",</t>
        </is>
      </c>
    </row>
    <row r="151">
      <c r="A151" s="29" t="inlineStr">
        <is>
          <t xml:space="preserve">    "4.02": "non-reliance on prior financials",</t>
        </is>
      </c>
    </row>
    <row r="152">
      <c r="A152" s="29" t="inlineStr">
        <is>
          <t xml:space="preserve">    "2.02": "results of operations (informational)",</t>
        </is>
      </c>
    </row>
    <row r="153">
      <c r="A153" s="29" t="inlineStr">
        <is>
          <t>}</t>
        </is>
      </c>
    </row>
    <row r="154">
      <c r="A154" s="29" t="inlineStr"/>
    </row>
    <row r="155">
      <c r="A155" s="29" t="inlineStr">
        <is>
          <t># --- SEC hosts (E8: CIK padding split; E10: proxy allowlist) ----------------</t>
        </is>
      </c>
    </row>
    <row r="156">
      <c r="A156" s="29" t="inlineStr">
        <is>
          <t>SUBMISSIONS_URL = "https://data.sec.gov/submissions/CIK{cik10}.json"</t>
        </is>
      </c>
    </row>
    <row r="157">
      <c r="A157" s="29" t="inlineStr">
        <is>
          <t>ARCHIVES_DIR_URL = ("https://www.sec.gov/Archives/edgar/data/"</t>
        </is>
      </c>
    </row>
    <row r="158">
      <c r="A158" s="29" t="inlineStr">
        <is>
          <t xml:space="preserve">                    "{cik}/{accession_nodash}/")</t>
        </is>
      </c>
    </row>
    <row r="159">
      <c r="A159" s="29" t="inlineStr">
        <is>
          <t>TICKERS_URL = "https://www.sec.gov/files/company_tickers.json"</t>
        </is>
      </c>
    </row>
    <row r="160">
      <c r="A160" s="29" t="inlineStr">
        <is>
          <t>FTS_URL = "https://efts.sec.gov/LATEST/search-index?q=%22bank%22"</t>
        </is>
      </c>
    </row>
    <row r="161">
      <c r="A161" s="29" t="inlineStr">
        <is>
          <t>BROWSE_URL = ("https://www.sec.gov/cgi-bin/browse-edgar?action=getcompany"</t>
        </is>
      </c>
    </row>
    <row r="162">
      <c r="A162" s="29" t="inlineStr">
        <is>
          <t xml:space="preserve">              "&amp;CIK={cik}&amp;type=10-Q&amp;dateb=&amp;owner=include&amp;count=40")</t>
        </is>
      </c>
    </row>
    <row r="163">
      <c r="A163" s="29" t="inlineStr"/>
    </row>
    <row r="164">
      <c r="A164" s="29" t="inlineStr">
        <is>
          <t>SEC_HOSTS = ("data.sec.gov", "www.sec.gov", "efts.sec.gov")</t>
        </is>
      </c>
    </row>
    <row r="165">
      <c r="A165" s="29" t="inlineStr"/>
    </row>
    <row r="166">
      <c r="A166" s="29" t="inlineStr"/>
    </row>
    <row r="167">
      <c r="A167" s="29" t="inlineStr">
        <is>
          <t>def cik10(cik) -&gt; str:</t>
        </is>
      </c>
    </row>
    <row r="168">
      <c r="A168" s="29" t="inlineStr">
        <is>
          <t xml:space="preserve">    """data.sec.gov wants the 10-digit zero-padded CIK (trap E8)."""</t>
        </is>
      </c>
    </row>
    <row r="169">
      <c r="A169" s="29" t="inlineStr">
        <is>
          <t xml:space="preserve">    return f"{int(str(cik)):010d}"</t>
        </is>
      </c>
    </row>
    <row r="170">
      <c r="A170" s="29" t="inlineStr"/>
    </row>
    <row r="171">
      <c r="A171" s="29" t="inlineStr"/>
    </row>
    <row r="172">
      <c r="A172" s="29" t="inlineStr">
        <is>
          <t>def cik_unpadded(cik) -&gt; str:</t>
        </is>
      </c>
    </row>
    <row r="173">
      <c r="A173" s="29" t="inlineStr">
        <is>
          <t xml:space="preserve">    """/Archives paths want the UNPADDED CIK (trap E8)."""</t>
        </is>
      </c>
    </row>
    <row r="174">
      <c r="A174" s="29" t="inlineStr">
        <is>
          <t xml:space="preserve">    return str(int(str(cik)))</t>
        </is>
      </c>
    </row>
    <row r="175">
      <c r="A175" s="29" t="inlineStr"/>
    </row>
    <row r="176">
      <c r="A176" s="29" t="inlineStr"/>
    </row>
    <row r="177">
      <c r="A177" s="29" t="inlineStr">
        <is>
          <t>def accession_nodash(acc: str) -&gt; str:</t>
        </is>
      </c>
    </row>
    <row r="178">
      <c r="A178" s="29" t="inlineStr">
        <is>
          <t xml:space="preserve">    return str(acc).replace("-", "")</t>
        </is>
      </c>
    </row>
    <row r="179">
      <c r="A179" s="29" t="inlineStr"/>
    </row>
    <row r="180">
      <c r="A180" s="29" t="inlineStr"/>
    </row>
    <row r="181">
      <c r="A181" s="29" t="inlineStr">
        <is>
          <t>def filing_dir_url(cik, accession) -&gt; str:</t>
        </is>
      </c>
    </row>
    <row r="182">
      <c r="A182" s="29" t="inlineStr">
        <is>
          <t xml:space="preserve">    return ARCHIVES_DIR_URL.format(cik=cik_unpadded(cik),</t>
        </is>
      </c>
    </row>
    <row r="183">
      <c r="A183" s="29" t="inlineStr">
        <is>
          <t xml:space="preserve">                                   accession_nodash=accession_nodash(accession))</t>
        </is>
      </c>
    </row>
    <row r="184">
      <c r="A184" s="29" t="inlineStr"/>
    </row>
    <row r="185">
      <c r="A185" s="29" t="inlineStr"/>
    </row>
    <row r="186">
      <c r="A186" s="29" t="inlineStr">
        <is>
          <t>def metric_col(name: str) -&gt; int:</t>
        </is>
      </c>
    </row>
    <row r="187">
      <c r="A187" s="29" t="inlineStr">
        <is>
          <t xml:space="preserve">    """Raw_EDGAR column for a canonical metric: B onward, fixed order."""</t>
        </is>
      </c>
    </row>
    <row r="188">
      <c r="A188" s="29" t="inlineStr">
        <is>
          <t xml:space="preserve">    return 2 + RAW_METRIC_COLS.index(name)</t>
        </is>
      </c>
    </row>
    <row r="189">
      <c r="A189" s="29" t="inlineStr"/>
    </row>
    <row r="190">
      <c r="A190" s="29" t="inlineStr"/>
    </row>
    <row r="191">
      <c r="A191" s="29" t="inlineStr">
        <is>
          <t>def fact_col(name: str) -&gt; int:</t>
        </is>
      </c>
    </row>
    <row r="192">
      <c r="A192" s="29" t="inlineStr">
        <is>
          <t xml:space="preserve">    return 1 + FACT_COLS.index(name)</t>
        </is>
      </c>
    </row>
    <row r="193">
      <c r="A193" s="29" t="inlineStr"/>
    </row>
    <row r="194">
      <c r="A194" s="29" t="inlineStr"/>
    </row>
    <row r="195">
      <c r="A195" s="29" t="inlineStr">
        <is>
          <t>def event_col(name: str) -&gt; int:</t>
        </is>
      </c>
    </row>
    <row r="196">
      <c r="A196" s="29" t="inlineStr">
        <is>
          <t xml:space="preserve">    return 1 + EVENT_COLS.index(name)</t>
        </is>
      </c>
    </row>
    <row r="197">
      <c r="A197" s="29" t="inlineStr"/>
    </row>
    <row r="198">
      <c r="A198" s="29" t="inlineStr"/>
    </row>
    <row r="199">
      <c r="A199" s="29" t="inlineStr">
        <is>
          <t>def slot_label(slot: int) -&gt; str:</t>
        </is>
      </c>
    </row>
    <row r="200">
      <c r="A200" s="29" t="inlineStr">
        <is>
          <t xml:space="preserve">    return f"slot{slot:02d}"</t>
        </is>
      </c>
    </row>
    <row r="201">
      <c r="A201" s="29" t="inlineStr"/>
    </row>
    <row r="202">
      <c r="A202" s="29" t="inlineStr"/>
    </row>
    <row r="203">
      <c r="A203" s="29" t="inlineStr">
        <is>
          <t># ---------------------------------------------------------------------------</t>
        </is>
      </c>
    </row>
    <row r="204">
      <c r="A204" s="29" t="inlineStr">
        <is>
          <t># CONFIG MODEL (parsed from the `_config` tab; the workbook is the source of</t>
        </is>
      </c>
    </row>
    <row r="205">
      <c r="A205" s="29" t="inlineStr">
        <is>
          <t># truth -- BUILD SPEC 0.4, INCLUDING [PEERS], [MEMBER_MAP] and [CLASS_MAP])</t>
        </is>
      </c>
    </row>
    <row r="206">
      <c r="A206" s="29" t="inlineStr">
        <is>
          <t># ---------------------------------------------------------------------------</t>
        </is>
      </c>
    </row>
    <row r="207">
      <c r="A207" s="29" t="inlineStr">
        <is>
          <t>PEER_HEADER = ["slot", "cik", "name", "ticker", "active"]</t>
        </is>
      </c>
    </row>
    <row r="208">
      <c r="A208" s="29" t="inlineStr">
        <is>
          <t>MEMBER_MAP_HEADER = ["cik", "family", "member_qname", "grade"]</t>
        </is>
      </c>
    </row>
    <row r="209">
      <c r="A209" s="29" t="inlineStr">
        <is>
          <t>CLASS_MAP_HEADER = ["cik", "class_member_qname", "class"]</t>
        </is>
      </c>
    </row>
    <row r="210">
      <c r="A210" s="29" t="inlineStr"/>
    </row>
    <row r="211">
      <c r="A211" s="29" t="inlineStr"/>
    </row>
    <row r="212">
      <c r="A212" s="29" t="inlineStr">
        <is>
          <t>@dataclass</t>
        </is>
      </c>
    </row>
    <row r="213">
      <c r="A213" s="29" t="inlineStr">
        <is>
          <t>class PeerRow:</t>
        </is>
      </c>
    </row>
    <row r="214">
      <c r="A214" s="29" t="inlineStr">
        <is>
          <t xml:space="preserve">    """One [PEERS] line. An empty row (slot number only) is provisioned</t>
        </is>
      </c>
    </row>
    <row r="215">
      <c r="A215" s="29" t="inlineStr">
        <is>
          <t xml:space="preserve">    headroom the user fills by hand (add a bank = edit + re-run)."""</t>
        </is>
      </c>
    </row>
    <row r="216">
      <c r="A216" s="29" t="inlineStr">
        <is>
          <t xml:space="preserve">    slot: Optional[int]</t>
        </is>
      </c>
    </row>
    <row r="217">
      <c r="A217" s="29" t="inlineStr">
        <is>
          <t xml:space="preserve">    cik: str               # normalized digit string; "" when blank</t>
        </is>
      </c>
    </row>
    <row r="218">
      <c r="A218" s="29" t="inlineStr">
        <is>
          <t xml:space="preserve">    name: str</t>
        </is>
      </c>
    </row>
    <row r="219">
      <c r="A219" s="29" t="inlineStr">
        <is>
          <t xml:space="preserve">    ticker: str</t>
        </is>
      </c>
    </row>
    <row r="220">
      <c r="A220" s="29" t="inlineStr">
        <is>
          <t xml:space="preserve">    active: bool</t>
        </is>
      </c>
    </row>
    <row r="221">
      <c r="A221" s="29" t="inlineStr"/>
    </row>
    <row r="222">
      <c r="A222" s="29" t="inlineStr">
        <is>
          <t xml:space="preserve">    @property</t>
        </is>
      </c>
    </row>
    <row r="223">
      <c r="A223" s="29" t="inlineStr">
        <is>
          <t xml:space="preserve">    def has_bank(self) -&gt; bool:</t>
        </is>
      </c>
    </row>
    <row r="224">
      <c r="A224" s="29" t="inlineStr">
        <is>
          <t xml:space="preserve">        return bool(self.cik or self.name)</t>
        </is>
      </c>
    </row>
    <row r="225">
      <c r="A225" s="29" t="inlineStr"/>
    </row>
    <row r="226">
      <c r="A226" s="29" t="inlineStr">
        <is>
          <t xml:space="preserve">    @property</t>
        </is>
      </c>
    </row>
    <row r="227">
      <c r="A227" s="29" t="inlineStr">
        <is>
          <t xml:space="preserve">    def entity_key(self) -&gt; str:</t>
        </is>
      </c>
    </row>
    <row r="228">
      <c r="A228" s="29" t="inlineStr">
        <is>
          <t xml:space="preserve">        return f"cik:{self.cik}"</t>
        </is>
      </c>
    </row>
    <row r="229">
      <c r="A229" s="29" t="inlineStr"/>
    </row>
    <row r="230">
      <c r="A230" s="29" t="inlineStr"/>
    </row>
    <row r="231">
      <c r="A231" s="29" t="inlineStr">
        <is>
          <t>@dataclass</t>
        </is>
      </c>
    </row>
    <row r="232">
      <c r="A232" s="29" t="inlineStr">
        <is>
          <t>class MemberMapRow:</t>
        </is>
      </c>
    </row>
    <row r="233">
      <c r="A233" s="29" t="inlineStr">
        <is>
          <t xml:space="preserve">    cik: str</t>
        </is>
      </c>
    </row>
    <row r="234">
      <c r="A234" s="29" t="inlineStr">
        <is>
          <t xml:space="preserve">    family: str</t>
        </is>
      </c>
    </row>
    <row r="235">
      <c r="A235" s="29" t="inlineStr">
        <is>
          <t xml:space="preserve">    member_qname: str</t>
        </is>
      </c>
    </row>
    <row r="236">
      <c r="A236" s="29" t="inlineStr">
        <is>
          <t xml:space="preserve">    grade: str</t>
        </is>
      </c>
    </row>
    <row r="237">
      <c r="A237" s="29" t="inlineStr"/>
    </row>
    <row r="238">
      <c r="A238" s="29" t="inlineStr"/>
    </row>
    <row r="239">
      <c r="A239" s="29" t="inlineStr">
        <is>
          <t>@dataclass</t>
        </is>
      </c>
    </row>
    <row r="240">
      <c r="A240" s="29" t="inlineStr">
        <is>
          <t>class ClassMapRow:</t>
        </is>
      </c>
    </row>
    <row r="241">
      <c r="A241" s="29" t="inlineStr">
        <is>
          <t xml:space="preserve">    cik: str               # "*" = standard us-gaap member, applies to all</t>
        </is>
      </c>
    </row>
    <row r="242">
      <c r="A242" s="29" t="inlineStr">
        <is>
          <t xml:space="preserve">    class_qname: str</t>
        </is>
      </c>
    </row>
    <row r="243">
      <c r="A243" s="29" t="inlineStr">
        <is>
          <t xml:space="preserve">    klass: str</t>
        </is>
      </c>
    </row>
    <row r="244">
      <c r="A244" s="29" t="inlineStr"/>
    </row>
    <row r="245">
      <c r="A245" s="29" t="inlineStr"/>
    </row>
    <row r="246">
      <c r="A246" s="29" t="inlineStr">
        <is>
          <t>@dataclass</t>
        </is>
      </c>
    </row>
    <row r="247">
      <c r="A247" s="29" t="inlineStr">
        <is>
          <t>class Threshold:</t>
        </is>
      </c>
    </row>
    <row r="248">
      <c r="A248" s="29" t="inlineStr">
        <is>
          <t xml:space="preserve">    watch: Optional[float]</t>
        </is>
      </c>
    </row>
    <row r="249">
      <c r="A249" s="29" t="inlineStr">
        <is>
          <t xml:space="preserve">    alert: Optional[float]</t>
        </is>
      </c>
    </row>
    <row r="250">
      <c r="A250" s="29" t="inlineStr">
        <is>
          <t xml:space="preserve">    direction: str</t>
        </is>
      </c>
    </row>
    <row r="251">
      <c r="A251" s="29" t="inlineStr"/>
    </row>
    <row r="252">
      <c r="A252" s="29" t="inlineStr"/>
    </row>
    <row r="253">
      <c r="A253" s="29" t="inlineStr">
        <is>
          <t>@dataclass</t>
        </is>
      </c>
    </row>
    <row r="254">
      <c r="A254" s="29" t="inlineStr">
        <is>
          <t>class Config:</t>
        </is>
      </c>
    </row>
    <row r="255">
      <c r="A255" s="29" t="inlineStr">
        <is>
          <t xml:space="preserve">    settings: Dict[str, str] = field(default_factory=dict)</t>
        </is>
      </c>
    </row>
    <row r="256">
      <c r="A256" s="29" t="inlineStr">
        <is>
          <t xml:space="preserve">    thresholds: Dict[str, Threshold] = field(default_factory=dict)</t>
        </is>
      </c>
    </row>
    <row r="257">
      <c r="A257" s="29" t="inlineStr">
        <is>
          <t xml:space="preserve">    peers: List[PeerRow] = field(default_factory=list)</t>
        </is>
      </c>
    </row>
    <row r="258">
      <c r="A258" s="29" t="inlineStr">
        <is>
          <t xml:space="preserve">    member_map: List[MemberMapRow] = field(default_factory=list)</t>
        </is>
      </c>
    </row>
    <row r="259">
      <c r="A259" s="29" t="inlineStr">
        <is>
          <t xml:space="preserve">    class_map: List[ClassMapRow] = field(default_factory=list)</t>
        </is>
      </c>
    </row>
    <row r="260">
      <c r="A260" s="29" t="inlineStr"/>
    </row>
    <row r="261">
      <c r="A261" s="29" t="inlineStr">
        <is>
          <t xml:space="preserve">    def setting(self, key, default=None):</t>
        </is>
      </c>
    </row>
    <row r="262">
      <c r="A262" s="29" t="inlineStr">
        <is>
          <t xml:space="preserve">        return self.settings.get(key, default)</t>
        </is>
      </c>
    </row>
    <row r="263">
      <c r="A263" s="29" t="inlineStr"/>
    </row>
    <row r="264">
      <c r="A264" s="29" t="inlineStr">
        <is>
          <t xml:space="preserve">    @property</t>
        </is>
      </c>
    </row>
    <row r="265">
      <c r="A265" s="29" t="inlineStr">
        <is>
          <t xml:space="preserve">    def raw_slots(self) -&gt; int:</t>
        </is>
      </c>
    </row>
    <row r="266">
      <c r="A266" s="29" t="inlineStr">
        <is>
          <t xml:space="preserve">        return int(float(self.settings.get("raw_slots", RAW_SLOTS_DEFAULT)))</t>
        </is>
      </c>
    </row>
    <row r="267">
      <c r="A267" s="29" t="inlineStr"/>
    </row>
    <row r="268">
      <c r="A268" s="29" t="inlineStr">
        <is>
          <t xml:space="preserve">    @property</t>
        </is>
      </c>
    </row>
    <row r="269">
      <c r="A269" s="29" t="inlineStr">
        <is>
          <t xml:space="preserve">    def peer_slots(self) -&gt; int:</t>
        </is>
      </c>
    </row>
    <row r="270">
      <c r="A270" s="29" t="inlineStr">
        <is>
          <t xml:space="preserve">        return int(float(self.settings.get("peer_slots", PEER_SLOTS_DEFAULT)))</t>
        </is>
      </c>
    </row>
    <row r="271">
      <c r="A271" s="29" t="inlineStr"/>
    </row>
    <row r="272">
      <c r="A272" s="29" t="inlineStr">
        <is>
          <t xml:space="preserve">    @property</t>
        </is>
      </c>
    </row>
    <row r="273">
      <c r="A273" s="29" t="inlineStr">
        <is>
          <t xml:space="preserve">    def stale_multiplier(self) -&gt; float:</t>
        </is>
      </c>
    </row>
    <row r="274">
      <c r="A274" s="29" t="inlineStr">
        <is>
          <t xml:space="preserve">        v = _as_float(self.settings.get("stale_multiplier", "2.0"))</t>
        </is>
      </c>
    </row>
    <row r="275">
      <c r="A275" s="29" t="inlineStr">
        <is>
          <t xml:space="preserve">        return 2.0 if v is None else v</t>
        </is>
      </c>
    </row>
    <row r="276">
      <c r="A276" s="29" t="inlineStr"/>
    </row>
    <row r="277">
      <c r="A277" s="29" t="inlineStr">
        <is>
          <t xml:space="preserve">    @property</t>
        </is>
      </c>
    </row>
    <row r="278">
      <c r="A278" s="29" t="inlineStr">
        <is>
          <t xml:space="preserve">    def user_agent(self) -&gt; str:</t>
        </is>
      </c>
    </row>
    <row r="279">
      <c r="A279" s="29" t="inlineStr">
        <is>
          <t xml:space="preserve">        return str(self.settings.get("edgar_user_agent", "") or "").strip()</t>
        </is>
      </c>
    </row>
    <row r="280">
      <c r="A280" s="29" t="inlineStr"/>
    </row>
    <row r="281">
      <c r="A281" s="29" t="inlineStr">
        <is>
          <t xml:space="preserve">    # -- derived lookup structures -----------------------------------------</t>
        </is>
      </c>
    </row>
    <row r="282">
      <c r="A282" s="29" t="inlineStr">
        <is>
          <t xml:space="preserve">    def grade_of(self, cik: str, qname: str) -&gt; Optional[str]:</t>
        </is>
      </c>
    </row>
    <row r="283">
      <c r="A283" s="29" t="inlineStr">
        <is>
          <t xml:space="preserve">        for r in self.member_map:</t>
        </is>
      </c>
    </row>
    <row r="284">
      <c r="A284" s="29" t="inlineStr">
        <is>
          <t xml:space="preserve">            if r.cik == str(cik) and r.member_qname == qname:</t>
        </is>
      </c>
    </row>
    <row r="285">
      <c r="A285" s="29" t="inlineStr">
        <is>
          <t xml:space="preserve">                return r.grade</t>
        </is>
      </c>
    </row>
    <row r="286">
      <c r="A286" s="29" t="inlineStr">
        <is>
          <t xml:space="preserve">        return None</t>
        </is>
      </c>
    </row>
    <row r="287">
      <c r="A287" s="29" t="inlineStr"/>
    </row>
    <row r="288">
      <c r="A288" s="29" t="inlineStr">
        <is>
          <t xml:space="preserve">    def family_of(self, cik: str) -&gt; str:</t>
        </is>
      </c>
    </row>
    <row r="289">
      <c r="A289" s="29" t="inlineStr">
        <is>
          <t xml:space="preserve">        fams = [r.family for r in self.member_map</t>
        </is>
      </c>
    </row>
    <row r="290">
      <c r="A290" s="29" t="inlineStr">
        <is>
          <t xml:space="preserve">                if r.cik == str(cik) and r.family in FAMILIES]</t>
        </is>
      </c>
    </row>
    <row r="291">
      <c r="A291" s="29" t="inlineStr">
        <is>
          <t xml:space="preserve">        return fams[0] if fams else "unmapped"</t>
        </is>
      </c>
    </row>
    <row r="292">
      <c r="A292" s="29" t="inlineStr"/>
    </row>
    <row r="293">
      <c r="A293" s="29" t="inlineStr">
        <is>
          <t xml:space="preserve">    def class_of(self, cik: str, qname: str) -&gt; Optional[str]:</t>
        </is>
      </c>
    </row>
    <row r="294">
      <c r="A294" s="29" t="inlineStr">
        <is>
          <t xml:space="preserve">        best = None</t>
        </is>
      </c>
    </row>
    <row r="295">
      <c r="A295" s="29" t="inlineStr">
        <is>
          <t xml:space="preserve">        for r in self.class_map:</t>
        </is>
      </c>
    </row>
    <row r="296">
      <c r="A296" s="29" t="inlineStr">
        <is>
          <t xml:space="preserve">            if r.class_qname != qname:</t>
        </is>
      </c>
    </row>
    <row r="297">
      <c r="A297" s="29" t="inlineStr">
        <is>
          <t xml:space="preserve">                continue</t>
        </is>
      </c>
    </row>
    <row r="298">
      <c r="A298" s="29" t="inlineStr">
        <is>
          <t xml:space="preserve">            if r.cik == str(cik):</t>
        </is>
      </c>
    </row>
    <row r="299">
      <c r="A299" s="29" t="inlineStr">
        <is>
          <t xml:space="preserve">                return r.klass          # per-bank row wins over "*"</t>
        </is>
      </c>
    </row>
    <row r="300">
      <c r="A300" s="29" t="inlineStr">
        <is>
          <t xml:space="preserve">            if r.cik == "*":</t>
        </is>
      </c>
    </row>
    <row r="301">
      <c r="A301" s="29" t="inlineStr">
        <is>
          <t xml:space="preserve">                best = r.klass</t>
        </is>
      </c>
    </row>
    <row r="302">
      <c r="A302" s="29" t="inlineStr">
        <is>
          <t xml:space="preserve">        return best</t>
        </is>
      </c>
    </row>
    <row r="303">
      <c r="A303" s="29" t="inlineStr"/>
    </row>
    <row r="304">
      <c r="A304" s="29" t="inlineStr"/>
    </row>
    <row r="305">
      <c r="A305" s="29" t="inlineStr">
        <is>
          <t>def _as_bool(v) -&gt; bool:</t>
        </is>
      </c>
    </row>
    <row r="306">
      <c r="A306" s="29" t="inlineStr">
        <is>
          <t xml:space="preserve">    return str(v).strip().lower() in ("true", "1", "yes", "y", "t")</t>
        </is>
      </c>
    </row>
    <row r="307">
      <c r="A307" s="29" t="inlineStr"/>
    </row>
    <row r="308">
      <c r="A308" s="29" t="inlineStr"/>
    </row>
    <row r="309">
      <c r="A309" s="29" t="inlineStr">
        <is>
          <t>def _as_float(v):</t>
        </is>
      </c>
    </row>
    <row r="310">
      <c r="A310" s="29" t="inlineStr">
        <is>
          <t xml:space="preserve">    try:</t>
        </is>
      </c>
    </row>
    <row r="311">
      <c r="A311" s="29" t="inlineStr">
        <is>
          <t xml:space="preserve">        s = str(v).strip()</t>
        </is>
      </c>
    </row>
    <row r="312">
      <c r="A312" s="29" t="inlineStr">
        <is>
          <t xml:space="preserve">        return float(s) if s != "" else None</t>
        </is>
      </c>
    </row>
    <row r="313">
      <c r="A313" s="29" t="inlineStr">
        <is>
          <t xml:space="preserve">    except (TypeError, ValueError):</t>
        </is>
      </c>
    </row>
    <row r="314">
      <c r="A314" s="29" t="inlineStr">
        <is>
          <t xml:space="preserve">        return None</t>
        </is>
      </c>
    </row>
    <row r="315">
      <c r="A315" s="29" t="inlineStr"/>
    </row>
    <row r="316">
      <c r="A316" s="29" t="inlineStr"/>
    </row>
    <row r="317">
      <c r="A317" s="29" t="inlineStr">
        <is>
          <t>def _norm_cik(v) -&gt; str:</t>
        </is>
      </c>
    </row>
    <row r="318">
      <c r="A318" s="29" t="inlineStr">
        <is>
          <t xml:space="preserve">    """Normalize a [PEERS] cik cell to a plain digit string. Excel hands</t>
        </is>
      </c>
    </row>
    <row r="319">
      <c r="A319" s="29" t="inlineStr">
        <is>
          <t xml:space="preserve">    numeric cells over as int/float; text stays as typed so a malformed value</t>
        </is>
      </c>
    </row>
    <row r="320">
      <c r="A320" s="29" t="inlineStr">
        <is>
          <t xml:space="preserve">    reaches the gate and is refused, never silently coerced."""</t>
        </is>
      </c>
    </row>
    <row r="321">
      <c r="A321" s="29" t="inlineStr">
        <is>
          <t xml:space="preserve">    if v is None:</t>
        </is>
      </c>
    </row>
    <row r="322">
      <c r="A322" s="29" t="inlineStr">
        <is>
          <t xml:space="preserve">        return ""</t>
        </is>
      </c>
    </row>
    <row r="323">
      <c r="A323" s="29" t="inlineStr">
        <is>
          <t xml:space="preserve">    if isinstance(v, float) and v.is_integer():</t>
        </is>
      </c>
    </row>
    <row r="324">
      <c r="A324" s="29" t="inlineStr">
        <is>
          <t xml:space="preserve">        return str(int(v))</t>
        </is>
      </c>
    </row>
    <row r="325">
      <c r="A325" s="29" t="inlineStr">
        <is>
          <t xml:space="preserve">    if isinstance(v, int):</t>
        </is>
      </c>
    </row>
    <row r="326">
      <c r="A326" s="29" t="inlineStr">
        <is>
          <t xml:space="preserve">        return str(v)</t>
        </is>
      </c>
    </row>
    <row r="327">
      <c r="A327" s="29" t="inlineStr">
        <is>
          <t xml:space="preserve">    return str(v).strip()</t>
        </is>
      </c>
    </row>
    <row r="328">
      <c r="A328" s="29" t="inlineStr"/>
    </row>
    <row r="329">
      <c r="A329" s="29" t="inlineStr"/>
    </row>
    <row r="330">
      <c r="A330" s="29" t="inlineStr">
        <is>
          <t>def _norm_slot(v) -&gt; Optional[int]:</t>
        </is>
      </c>
    </row>
    <row r="331">
      <c r="A331" s="29" t="inlineStr">
        <is>
          <t xml:space="preserve">    try:</t>
        </is>
      </c>
    </row>
    <row r="332">
      <c r="A332" s="29" t="inlineStr">
        <is>
          <t xml:space="preserve">        s = str(v).strip()</t>
        </is>
      </c>
    </row>
    <row r="333">
      <c r="A333" s="29" t="inlineStr">
        <is>
          <t xml:space="preserve">        return int(float(s)) if s != "" else None</t>
        </is>
      </c>
    </row>
    <row r="334">
      <c r="A334" s="29" t="inlineStr">
        <is>
          <t xml:space="preserve">    except (TypeError, ValueError):</t>
        </is>
      </c>
    </row>
    <row r="335">
      <c r="A335" s="29" t="inlineStr">
        <is>
          <t xml:space="preserve">        return None</t>
        </is>
      </c>
    </row>
    <row r="336">
      <c r="A336" s="29" t="inlineStr"/>
    </row>
    <row r="337">
      <c r="A337" s="29" t="inlineStr"/>
    </row>
    <row r="338">
      <c r="A338" s="29" t="inlineStr">
        <is>
          <t>def parse_config(rows: Sequence[Sequence]) -&gt; Config:</t>
        </is>
      </c>
    </row>
    <row r="339">
      <c r="A339" s="29" t="inlineStr">
        <is>
          <t xml:space="preserve">    """Parse the `_config` sheet (list of row value-lists). Sections in col A:</t>
        </is>
      </c>
    </row>
    <row r="340">
      <c r="A340" s="29" t="inlineStr">
        <is>
          <t xml:space="preserve">    [SETTINGS], [THRESHOLDS], [PEERS], [MEMBER_MAP], [CLASS_MAP]. Lines</t>
        </is>
      </c>
    </row>
    <row r="341">
      <c r="A341" s="29" t="inlineStr">
        <is>
          <t xml:space="preserve">    starting `#` are comments; blank col-A rows (the bootstrap provisioning</t>
        </is>
      </c>
    </row>
    <row r="342">
      <c r="A342" s="29" t="inlineStr">
        <is>
          <t xml:space="preserve">    inside MEMBER_MAP/CLASS_MAP) are skipped."""</t>
        </is>
      </c>
    </row>
    <row r="343">
      <c r="A343" s="29" t="inlineStr">
        <is>
          <t xml:space="preserve">    cfg = Config()</t>
        </is>
      </c>
    </row>
    <row r="344">
      <c r="A344" s="29" t="inlineStr">
        <is>
          <t xml:space="preserve">    section = None</t>
        </is>
      </c>
    </row>
    <row r="345">
      <c r="A345" s="29" t="inlineStr">
        <is>
          <t xml:space="preserve">    hdr: Dict[str, List[str]] = {}</t>
        </is>
      </c>
    </row>
    <row r="346">
      <c r="A346" s="29" t="inlineStr">
        <is>
          <t xml:space="preserve">    for raw in rows:</t>
        </is>
      </c>
    </row>
    <row r="347">
      <c r="A347" s="29" t="inlineStr">
        <is>
          <t xml:space="preserve">        a = ("" if not raw or raw[0] is None else str(raw[0])).strip()</t>
        </is>
      </c>
    </row>
    <row r="348">
      <c r="A348" s="29" t="inlineStr">
        <is>
          <t xml:space="preserve">        if a.startswith("[") and a.endswith("]"):</t>
        </is>
      </c>
    </row>
    <row r="349">
      <c r="A349" s="29" t="inlineStr">
        <is>
          <t xml:space="preserve">            section = a.strip("[]").strip().upper()</t>
        </is>
      </c>
    </row>
    <row r="350">
      <c r="A350" s="29" t="inlineStr">
        <is>
          <t xml:space="preserve">            continue</t>
        </is>
      </c>
    </row>
    <row r="351">
      <c r="A351" s="29" t="inlineStr">
        <is>
          <t xml:space="preserve">        if not a or a.startswith("#"):</t>
        </is>
      </c>
    </row>
    <row r="352">
      <c r="A352" s="29" t="inlineStr">
        <is>
          <t xml:space="preserve">            continue</t>
        </is>
      </c>
    </row>
    <row r="353">
      <c r="A353" s="29" t="inlineStr">
        <is>
          <t xml:space="preserve">        cells = list(raw) + [None] * 8</t>
        </is>
      </c>
    </row>
    <row r="354">
      <c r="A354" s="29" t="inlineStr">
        <is>
          <t xml:space="preserve">        if section == "SETTINGS":</t>
        </is>
      </c>
    </row>
    <row r="355">
      <c r="A355" s="29" t="inlineStr">
        <is>
          <t xml:space="preserve">            if a.lower() in ("key", "name"):</t>
        </is>
      </c>
    </row>
    <row r="356">
      <c r="A356" s="29" t="inlineStr">
        <is>
          <t xml:space="preserve">                continue</t>
        </is>
      </c>
    </row>
    <row r="357">
      <c r="A357" s="29" t="inlineStr">
        <is>
          <t xml:space="preserve">            cfg.settings[a] = ("" if cells[1] is None else str(cells[1]).strip())</t>
        </is>
      </c>
    </row>
    <row r="358">
      <c r="A358" s="29" t="inlineStr">
        <is>
          <t xml:space="preserve">        elif section == "THRESHOLDS":</t>
        </is>
      </c>
    </row>
    <row r="359">
      <c r="A359" s="29" t="inlineStr">
        <is>
          <t xml:space="preserve">            if a.lower() == "id":</t>
        </is>
      </c>
    </row>
    <row r="360">
      <c r="A360" s="29" t="inlineStr">
        <is>
          <t xml:space="preserve">                continue</t>
        </is>
      </c>
    </row>
    <row r="361">
      <c r="A361" s="29" t="inlineStr">
        <is>
          <t xml:space="preserve">            cfg.thresholds[a] = Threshold(</t>
        </is>
      </c>
    </row>
    <row r="362">
      <c r="A362" s="29" t="inlineStr">
        <is>
          <t xml:space="preserve">                watch=_as_float(cells[1]), alert=_as_float(cells[2]),</t>
        </is>
      </c>
    </row>
    <row r="363">
      <c r="A363" s="29" t="inlineStr">
        <is>
          <t xml:space="preserve">                direction=(str(cells[3] or "above")).strip().lower() or "above")</t>
        </is>
      </c>
    </row>
    <row r="364">
      <c r="A364" s="29" t="inlineStr">
        <is>
          <t xml:space="preserve">        elif section == "PEERS":</t>
        </is>
      </c>
    </row>
    <row r="365">
      <c r="A365" s="29" t="inlineStr">
        <is>
          <t xml:space="preserve">            if a.lower() == "slot":</t>
        </is>
      </c>
    </row>
    <row r="366">
      <c r="A366" s="29" t="inlineStr">
        <is>
          <t xml:space="preserve">                hdr["peers"] = [str(c).strip().lower() for c in raw]</t>
        </is>
      </c>
    </row>
    <row r="367">
      <c r="A367" s="29" t="inlineStr">
        <is>
          <t xml:space="preserve">                continue</t>
        </is>
      </c>
    </row>
    <row r="368">
      <c r="A368" s="29" t="inlineStr">
        <is>
          <t xml:space="preserve">            v = {h: (None if i &gt;= len(raw) else raw[i])</t>
        </is>
      </c>
    </row>
    <row r="369">
      <c r="A369" s="29" t="inlineStr">
        <is>
          <t xml:space="preserve">                 for i, h in enumerate(hdr.get("peers", PEER_HEADER))}</t>
        </is>
      </c>
    </row>
    <row r="370">
      <c r="A370" s="29" t="inlineStr">
        <is>
          <t xml:space="preserve">            cfg.peers.append(PeerRow(</t>
        </is>
      </c>
    </row>
    <row r="371">
      <c r="A371" s="29" t="inlineStr">
        <is>
          <t xml:space="preserve">                slot=_norm_slot(v.get("slot")),</t>
        </is>
      </c>
    </row>
    <row r="372">
      <c r="A372" s="29" t="inlineStr">
        <is>
          <t xml:space="preserve">                cik=_norm_cik(v.get("cik")),</t>
        </is>
      </c>
    </row>
    <row r="373">
      <c r="A373" s="29" t="inlineStr">
        <is>
          <t xml:space="preserve">                name=("" if v.get("name") is None else str(v.get("name")).strip()),</t>
        </is>
      </c>
    </row>
    <row r="374">
      <c r="A374" s="29" t="inlineStr">
        <is>
          <t xml:space="preserve">                ticker=("" if v.get("ticker") is None</t>
        </is>
      </c>
    </row>
    <row r="375">
      <c r="A375" s="29" t="inlineStr">
        <is>
          <t xml:space="preserve">                        else str(v.get("ticker")).strip().upper()),</t>
        </is>
      </c>
    </row>
    <row r="376">
      <c r="A376" s="29" t="inlineStr">
        <is>
          <t xml:space="preserve">                active=_as_bool(v.get("active"))))</t>
        </is>
      </c>
    </row>
    <row r="377">
      <c r="A377" s="29" t="inlineStr">
        <is>
          <t xml:space="preserve">        elif section == "MEMBER_MAP":</t>
        </is>
      </c>
    </row>
    <row r="378">
      <c r="A378" s="29" t="inlineStr">
        <is>
          <t xml:space="preserve">            if a.lower() == "cik":</t>
        </is>
      </c>
    </row>
    <row r="379">
      <c r="A379" s="29" t="inlineStr">
        <is>
          <t xml:space="preserve">                continue</t>
        </is>
      </c>
    </row>
    <row r="380">
      <c r="A380" s="29" t="inlineStr">
        <is>
          <t xml:space="preserve">            cfg.member_map.append(MemberMapRow(</t>
        </is>
      </c>
    </row>
    <row r="381">
      <c r="A381" s="29" t="inlineStr">
        <is>
          <t xml:space="preserve">                cik=_norm_cik(cells[0]),</t>
        </is>
      </c>
    </row>
    <row r="382">
      <c r="A382" s="29" t="inlineStr">
        <is>
          <t xml:space="preserve">                family=str(cells[1] or "").strip().lower(),</t>
        </is>
      </c>
    </row>
    <row r="383">
      <c r="A383" s="29" t="inlineStr">
        <is>
          <t xml:space="preserve">                member_qname=str(cells[2] or "").strip(),</t>
        </is>
      </c>
    </row>
    <row r="384">
      <c r="A384" s="29" t="inlineStr">
        <is>
          <t xml:space="preserve">                grade=str(cells[3] or "").strip().lower()))</t>
        </is>
      </c>
    </row>
    <row r="385">
      <c r="A385" s="29" t="inlineStr">
        <is>
          <t xml:space="preserve">        elif section == "CLASS_MAP":</t>
        </is>
      </c>
    </row>
    <row r="386">
      <c r="A386" s="29" t="inlineStr">
        <is>
          <t xml:space="preserve">            if a.lower() == "cik":</t>
        </is>
      </c>
    </row>
    <row r="387">
      <c r="A387" s="29" t="inlineStr">
        <is>
          <t xml:space="preserve">                continue</t>
        </is>
      </c>
    </row>
    <row r="388">
      <c r="A388" s="29" t="inlineStr">
        <is>
          <t xml:space="preserve">            cfg.class_map.append(ClassMapRow(</t>
        </is>
      </c>
    </row>
    <row r="389">
      <c r="A389" s="29" t="inlineStr">
        <is>
          <t xml:space="preserve">                cik=("*" if str(cells[0]).strip() == "*"</t>
        </is>
      </c>
    </row>
    <row r="390">
      <c r="A390" s="29" t="inlineStr">
        <is>
          <t xml:space="preserve">                     else _norm_cik(cells[0])),</t>
        </is>
      </c>
    </row>
    <row r="391">
      <c r="A391" s="29" t="inlineStr">
        <is>
          <t xml:space="preserve">                class_qname=str(cells[1] or "").strip(),</t>
        </is>
      </c>
    </row>
    <row r="392">
      <c r="A392" s="29" t="inlineStr">
        <is>
          <t xml:space="preserve">                klass=str(cells[2] or "").strip().lower()))</t>
        </is>
      </c>
    </row>
    <row r="393">
      <c r="A393" s="29" t="inlineStr">
        <is>
          <t xml:space="preserve">    return cfg</t>
        </is>
      </c>
    </row>
    <row r="394">
      <c r="A394" s="29" t="inlineStr"/>
    </row>
    <row r="395">
      <c r="A395" s="29" t="inlineStr"/>
    </row>
    <row r="396">
      <c r="A396" s="29" t="inlineStr">
        <is>
          <t># ---------------------------------------------------------------------------</t>
        </is>
      </c>
    </row>
    <row r="397">
      <c r="A397" s="29" t="inlineStr">
        <is>
          <t># METRIC REGISTRY -- the canonical rollups (BUILD SPEC sec 3). Values are</t>
        </is>
      </c>
    </row>
    <row r="398">
      <c r="A398" s="29" t="inlineStr">
        <is>
          <t># COMPUTED here and LANDED into the per-slot canonical metric blocks; the</t>
        </is>
      </c>
    </row>
    <row r="399">
      <c r="A399" s="29" t="inlineStr">
        <is>
          <t># dashboards read those blocks by simple reference, so Python and Excel</t>
        </is>
      </c>
    </row>
    <row r="400">
      <c r="A400" s="29" t="inlineStr">
        <is>
          <t># cannot drift on the arithmetic. Family gating (Tier 2) is enforced here</t>
        </is>
      </c>
    </row>
    <row r="401">
      <c r="A401" s="29" t="inlineStr">
        <is>
          <t># AND rendered in-formula off the landed family cell.</t>
        </is>
      </c>
    </row>
    <row r="402">
      <c r="A402" s="29" t="inlineStr">
        <is>
          <t># ---------------------------------------------------------------------------</t>
        </is>
      </c>
    </row>
    <row r="403">
      <c r="A403" s="29" t="inlineStr">
        <is>
          <t>@dataclass</t>
        </is>
      </c>
    </row>
    <row r="404">
      <c r="A404" s="29" t="inlineStr">
        <is>
          <t>class MetricSpec:</t>
        </is>
      </c>
    </row>
    <row r="405">
      <c r="A405" s="29" t="inlineStr">
        <is>
          <t xml:space="preserve">    id: str</t>
        </is>
      </c>
    </row>
    <row r="406">
      <c r="A406" s="29" t="inlineStr">
        <is>
          <t xml:space="preserve">    title: str</t>
        </is>
      </c>
    </row>
    <row r="407">
      <c r="A407" s="29" t="inlineStr">
        <is>
          <t xml:space="preserve">    tier: int                  # 1 = all crit-capable families, 2 = grades_full</t>
        </is>
      </c>
    </row>
    <row r="408">
      <c r="A408" s="29" t="inlineStr">
        <is>
          <t xml:space="preserve">    raw_col: str               # canonical metric block column</t>
        </is>
      </c>
    </row>
    <row r="409">
      <c r="A409" s="29" t="inlineStr">
        <is>
          <t xml:space="preserve">    source_class: str = "A"</t>
        </is>
      </c>
    </row>
    <row r="410">
      <c r="A410" s="29" t="inlineStr">
        <is>
          <t xml:space="preserve">    watchlist_capable: bool = True</t>
        </is>
      </c>
    </row>
    <row r="411">
      <c r="A411" s="29" t="inlineStr"/>
    </row>
    <row r="412">
      <c r="A412" s="29" t="inlineStr"/>
    </row>
    <row r="413">
      <c r="A413" s="29" t="inlineStr">
        <is>
          <t>METRIC_SPECS = [</t>
        </is>
      </c>
    </row>
    <row r="414">
      <c r="A414" s="29" t="inlineStr">
        <is>
          <t xml:space="preserve">    MetricSpec("criticized_ratio", "Criticized / total commercial %", 1,</t>
        </is>
      </c>
    </row>
    <row r="415">
      <c r="A415" s="29" t="inlineStr">
        <is>
          <t xml:space="preserve">               "CRIT_RATIO"),</t>
        </is>
      </c>
    </row>
    <row r="416">
      <c r="A416" s="29" t="inlineStr">
        <is>
          <t xml:space="preserve">    MetricSpec("classified_ratio", "Classified / total commercial %", 2,</t>
        </is>
      </c>
    </row>
    <row r="417">
      <c r="A417" s="29" t="inlineStr">
        <is>
          <t xml:space="preserve">               "CLASS_RATIO"),</t>
        </is>
      </c>
    </row>
    <row r="418">
      <c r="A418" s="29" t="inlineStr">
        <is>
          <t xml:space="preserve">    MetricSpec("sm_ratio", "Special mention / total commercial %", 2,</t>
        </is>
      </c>
    </row>
    <row r="419">
      <c r="A419" s="29" t="inlineStr">
        <is>
          <t xml:space="preserve">               "SM_RATIO"),</t>
        </is>
      </c>
    </row>
    <row r="420">
      <c r="A420" s="29" t="inlineStr">
        <is>
          <t xml:space="preserve">    MetricSpec("crit_qoq_delta", "Criticized ratio QoQ delta (pp)", 1,</t>
        </is>
      </c>
    </row>
    <row r="421">
      <c r="A421" s="29" t="inlineStr">
        <is>
          <t xml:space="preserve">               "CRIT_QOQ"),</t>
        </is>
      </c>
    </row>
    <row r="422">
      <c r="A422" s="29" t="inlineStr">
        <is>
          <t xml:space="preserve">    MetricSpec("crit_yoy_delta", "Criticized ratio YoY delta (pp)", 1,</t>
        </is>
      </c>
    </row>
    <row r="423">
      <c r="A423" s="29" t="inlineStr">
        <is>
          <t xml:space="preserve">               "CRIT_YOY"),</t>
        </is>
      </c>
    </row>
    <row r="424">
      <c r="A424" s="29" t="inlineStr">
        <is>
          <t xml:space="preserve">    MetricSpec("crit_growth", "Criticized $ QoQ growth %", 1, "CRIT_GROWTH"),</t>
        </is>
      </c>
    </row>
    <row r="425">
      <c r="A425" s="29" t="inlineStr">
        <is>
          <t xml:space="preserve">    MetricSpec("mix_ci", "Criticized $ share: C&amp;I %", 1, "MIX_CI"),</t>
        </is>
      </c>
    </row>
    <row r="426">
      <c r="A426" s="29" t="inlineStr">
        <is>
          <t xml:space="preserve">    MetricSpec("mix_cre", "Criticized $ share: CRE %", 1, "MIX_CRE"),</t>
        </is>
      </c>
    </row>
    <row r="427">
      <c r="A427" s="29" t="inlineStr">
        <is>
          <t xml:space="preserve">    MetricSpec("mix_construction", "Criticized $ share: construction %", 1,</t>
        </is>
      </c>
    </row>
    <row r="428">
      <c r="A428" s="29" t="inlineStr">
        <is>
          <t xml:space="preserve">               "MIX_CONSTR"),</t>
        </is>
      </c>
    </row>
    <row r="429">
      <c r="A429" s="29" t="inlineStr">
        <is>
          <t xml:space="preserve">    MetricSpec("mix_other", "Criticized $ share: other commercial %", 1,</t>
        </is>
      </c>
    </row>
    <row r="430">
      <c r="A430" s="29" t="inlineStr">
        <is>
          <t xml:space="preserve">               "MIX_OTHER"),</t>
        </is>
      </c>
    </row>
    <row r="431">
      <c r="A431" s="29" t="inlineStr">
        <is>
          <t>]</t>
        </is>
      </c>
    </row>
    <row r="432">
      <c r="A432" s="29" t="inlineStr">
        <is>
          <t>METRICS = {m.id: m for m in METRIC_SPECS}</t>
        </is>
      </c>
    </row>
    <row r="433">
      <c r="A433" s="29" t="inlineStr">
        <is>
          <t>BANDED_METRICS = ("criticized_ratio", "crit_qoq_delta", "sm_ratio")</t>
        </is>
      </c>
    </row>
    <row r="434">
      <c r="A434" s="29" t="inlineStr"/>
    </row>
    <row r="435">
      <c r="A435" s="29" t="inlineStr"/>
    </row>
    <row r="436">
      <c r="A436" s="29" t="inlineStr">
        <is>
          <t>class MetricError(Exception):</t>
        </is>
      </c>
    </row>
    <row r="437">
      <c r="A437" s="29" t="inlineStr">
        <is>
          <t xml:space="preserve">    pass</t>
        </is>
      </c>
    </row>
    <row r="438">
      <c r="A438" s="29" t="inlineStr"/>
    </row>
    <row r="439">
      <c r="A439" s="29" t="inlineStr"/>
    </row>
    <row r="440">
      <c r="A440" s="29" t="inlineStr">
        <is>
          <t>def _ratio(num: Optional[float], den: Optional[float]) -&gt; Optional[float]:</t>
        </is>
      </c>
    </row>
    <row r="441">
      <c r="A441" s="29" t="inlineStr">
        <is>
          <t xml:space="preserve">    if num is None or den is None or den == 0:</t>
        </is>
      </c>
    </row>
    <row r="442">
      <c r="A442" s="29" t="inlineStr">
        <is>
          <t xml:space="preserve">        return None</t>
        </is>
      </c>
    </row>
    <row r="443">
      <c r="A443" s="29" t="inlineStr">
        <is>
          <t xml:space="preserve">    return num / den * 100.0</t>
        </is>
      </c>
    </row>
    <row r="444">
      <c r="A444" s="29" t="inlineStr"/>
    </row>
    <row r="445">
      <c r="A445" s="29" t="inlineStr"/>
    </row>
    <row r="446">
      <c r="A446" s="29" t="inlineStr">
        <is>
          <t># ---------------------------------------------------------------------------</t>
        </is>
      </c>
    </row>
    <row r="447">
      <c r="A447" s="29" t="inlineStr">
        <is>
          <t># WATCHLIST VALIDATOR -- DEFAULT-DENY (BUILD SPEC 0.1 / sec 3)</t>
        </is>
      </c>
    </row>
    <row r="448">
      <c r="A448" s="29" t="inlineStr">
        <is>
          <t># ---------------------------------------------------------------------------</t>
        </is>
      </c>
    </row>
    <row r="449">
      <c r="A449" s="29" t="inlineStr">
        <is>
          <t>class WatchlistRefused(Exception):</t>
        </is>
      </c>
    </row>
    <row r="450">
      <c r="A450" s="29" t="inlineStr">
        <is>
          <t xml:space="preserve">    """Raised by the hard gates; carries the interpolated refusal message."""</t>
        </is>
      </c>
    </row>
    <row r="451">
      <c r="A451" s="29" t="inlineStr"/>
    </row>
    <row r="452">
      <c r="A452" s="29" t="inlineStr"/>
    </row>
    <row r="453">
      <c r="A453" s="29" t="inlineStr">
        <is>
          <t>class PeerCapacityError(Exception):</t>
        </is>
      </c>
    </row>
    <row r="454">
      <c r="A454" s="29" t="inlineStr">
        <is>
          <t xml:space="preserve">    """More peers than BUILT slots: refuse with the rebuild command -- the</t>
        </is>
      </c>
    </row>
    <row r="455">
      <c r="A455" s="29" t="inlineStr">
        <is>
          <t xml:space="preserve">    runner never truncates a peer list."""</t>
        </is>
      </c>
    </row>
    <row r="456">
      <c r="A456" s="29" t="inlineStr"/>
    </row>
    <row r="457">
      <c r="A457" s="29" t="inlineStr"/>
    </row>
    <row r="458">
      <c r="A458" s="29" t="inlineStr">
        <is>
          <t>class UserAgentMissing(Exception):</t>
        </is>
      </c>
    </row>
    <row r="459">
      <c r="A459" s="29" t="inlineStr">
        <is>
          <t xml:space="preserve">    """Live mode with a blank edgar_user_agent (BUILD SPEC 0.3): fail fast --</t>
        </is>
      </c>
    </row>
    <row r="460">
      <c r="A460" s="29" t="inlineStr">
        <is>
          <t xml:space="preserve">    an absent/generic UA earns silent 403s and a ~10-minute IP block."""</t>
        </is>
      </c>
    </row>
    <row r="461">
      <c r="A461" s="29" t="inlineStr"/>
    </row>
    <row r="462">
      <c r="A462" s="29" t="inlineStr"/>
    </row>
    <row r="463">
      <c r="A463" s="29" t="inlineStr">
        <is>
          <t>def peer_refusal_message(peer: PeerRow, reasons: List[str]) -&gt; str:</t>
        </is>
      </c>
    </row>
    <row r="464">
      <c r="A464" s="29" t="inlineStr">
        <is>
          <t xml:space="preserve">    return (</t>
        </is>
      </c>
    </row>
    <row r="465">
      <c r="A465" s="29" t="inlineStr">
        <is>
          <t xml:space="preserve">        f'WATCHLIST REFUSED: peer slot {peer.slot} "{peer.name or "(unnamed)"}" '</t>
        </is>
      </c>
    </row>
    <row r="466">
      <c r="A466" s="29" t="inlineStr">
        <is>
          <t xml:space="preserve">        f'has cik="{peer.cik}", active={"TRUE" if peer.active else "FALSE"}. '</t>
        </is>
      </c>
    </row>
    <row r="467">
      <c r="A467" s="29" t="inlineStr">
        <is>
          <t xml:space="preserve">        + " ".join(reasons) +</t>
        </is>
      </c>
    </row>
    <row r="468">
      <c r="A468" s="29" t="inlineStr">
        <is>
          <t xml:space="preserve">        " Only CIK-keyed SEC registrants (the holding company) can be"</t>
        </is>
      </c>
    </row>
    <row r="469">
      <c r="A469" s="29" t="inlineStr">
        <is>
          <t xml:space="preserve">        " monitored; tickers, series names and name-only rows cannot. Find"</t>
        </is>
      </c>
    </row>
    <row r="470">
      <c r="A470" s="29" t="inlineStr">
        <is>
          <t xml:space="preserve">        f' the CIK with: python runner.py --lookup "{peer.name or "&lt;name&gt;"}"'</t>
        </is>
      </c>
    </row>
    <row r="471">
      <c r="A471" s="29" t="inlineStr">
        <is>
          <t xml:space="preserve">        " (resolves names via company_tickers.json).")</t>
        </is>
      </c>
    </row>
    <row r="472">
      <c r="A472" s="29" t="inlineStr"/>
    </row>
    <row r="473">
      <c r="A473" s="29" t="inlineStr"/>
    </row>
    <row r="474">
      <c r="A474" s="29" t="inlineStr">
        <is>
          <t>def metric_refusal_message(spec: MetricSpec, reasons: List[str]) -&gt; str:</t>
        </is>
      </c>
    </row>
    <row r="475">
      <c r="A475" s="29" t="inlineStr">
        <is>
          <t xml:space="preserve">    return (</t>
        </is>
      </c>
    </row>
    <row r="476">
      <c r="A476" s="29" t="inlineStr">
        <is>
          <t xml:space="preserve">        f'WATCHLIST REFUSED: metric "{spec.id}" has '</t>
        </is>
      </c>
    </row>
    <row r="477">
      <c r="A477" s="29" t="inlineStr">
        <is>
          <t xml:space="preserve">        f'source_class="{spec.source_class}", '</t>
        </is>
      </c>
    </row>
    <row r="478">
      <c r="A478" s="29" t="inlineStr">
        <is>
          <t xml:space="preserve">        f'watchlist_capable={"TRUE" if spec.watchlist_capable else "FALSE"}. '</t>
        </is>
      </c>
    </row>
    <row r="479">
      <c r="A479" s="29" t="inlineStr">
        <is>
          <t xml:space="preserve">        + " ".join(reasons) +</t>
        </is>
      </c>
    </row>
    <row r="480">
      <c r="A480" s="29" t="inlineStr">
        <is>
          <t xml:space="preserve">        " This template admits only the public keyless EDGAR adapter"</t>
        </is>
      </c>
    </row>
    <row r="481">
      <c r="A481" s="29" t="inlineStr">
        <is>
          <t xml:space="preserve">        " (Class A); any other class requires its own review before"</t>
        </is>
      </c>
    </row>
    <row r="482">
      <c r="A482" s="29" t="inlineStr">
        <is>
          <t xml:space="preserve">        " admission.")</t>
        </is>
      </c>
    </row>
    <row r="483">
      <c r="A483" s="29" t="inlineStr"/>
    </row>
    <row r="484">
      <c r="A484" s="29" t="inlineStr"/>
    </row>
    <row r="485">
      <c r="A485" s="29" t="inlineStr">
        <is>
          <t>def gate_peer_row(peer: PeerRow) -&gt; List[str]:</t>
        </is>
      </c>
    </row>
    <row r="486">
      <c r="A486" s="29" t="inlineStr">
        <is>
          <t xml:space="preserve">    reasons = []</t>
        </is>
      </c>
    </row>
    <row r="487">
      <c r="A487" s="29" t="inlineStr">
        <is>
          <t xml:space="preserve">    if not re.match(ENTITY_KEY_PATTERN, peer.entity_key):</t>
        </is>
      </c>
    </row>
    <row r="488">
      <c r="A488" s="29" t="inlineStr">
        <is>
          <t xml:space="preserve">        reasons.append(</t>
        </is>
      </c>
    </row>
    <row r="489">
      <c r="A489" s="29" t="inlineStr">
        <is>
          <t xml:space="preserve">            f"Gate3: entity key '{peer.entity_key}' does not match the "</t>
        </is>
      </c>
    </row>
    <row r="490">
      <c r="A490" s="29" t="inlineStr">
        <is>
          <t xml:space="preserve">            f"join-key whitelist pattern {ENTITY_KEY_PATTERN} (default-deny; "</t>
        </is>
      </c>
    </row>
    <row r="491">
      <c r="A491" s="29" t="inlineStr">
        <is>
          <t xml:space="preserve">            "a blank or malformed CIK cannot be fetched).")</t>
        </is>
      </c>
    </row>
    <row r="492">
      <c r="A492" s="29" t="inlineStr">
        <is>
          <t xml:space="preserve">    return reasons</t>
        </is>
      </c>
    </row>
    <row r="493">
      <c r="A493" s="29" t="inlineStr"/>
    </row>
    <row r="494">
      <c r="A494" s="29" t="inlineStr"/>
    </row>
    <row r="495">
      <c r="A495" s="29" t="inlineStr">
        <is>
          <t>def gate_metric_spec(spec: MetricSpec) -&gt; List[str]:</t>
        </is>
      </c>
    </row>
    <row r="496">
      <c r="A496" s="29" t="inlineStr">
        <is>
          <t xml:space="preserve">    reasons = []</t>
        </is>
      </c>
    </row>
    <row r="497">
      <c r="A497" s="29" t="inlineStr">
        <is>
          <t xml:space="preserve">    if not spec.watchlist_capable:</t>
        </is>
      </c>
    </row>
    <row r="498">
      <c r="A498" s="29" t="inlineStr">
        <is>
          <t xml:space="preserve">        reasons.append("Gate1: watchlist_capable is not TRUE.")</t>
        </is>
      </c>
    </row>
    <row r="499">
      <c r="A499" s="29" t="inlineStr">
        <is>
          <t xml:space="preserve">    if spec.source_class != "A":</t>
        </is>
      </c>
    </row>
    <row r="500">
      <c r="A500" s="29" t="inlineStr">
        <is>
          <t xml:space="preserve">        reasons.append("Gate2: source_class is not A -- the only admitted "</t>
        </is>
      </c>
    </row>
    <row r="501">
      <c r="A501" s="29" t="inlineStr">
        <is>
          <t xml:space="preserve">                       "class is the keyless public EDGAR adapter; any other "</t>
        </is>
      </c>
    </row>
    <row r="502">
      <c r="A502" s="29" t="inlineStr">
        <is>
          <t xml:space="preserve">                       "class (including a future licensed swap) requires "</t>
        </is>
      </c>
    </row>
    <row r="503">
      <c r="A503" s="29" t="inlineStr">
        <is>
          <t xml:space="preserve">                       "its own review before admission.")</t>
        </is>
      </c>
    </row>
    <row r="504">
      <c r="A504" s="29" t="inlineStr">
        <is>
          <t xml:space="preserve">    return reasons</t>
        </is>
      </c>
    </row>
    <row r="505">
      <c r="A505" s="29" t="inlineStr"/>
    </row>
    <row r="506">
      <c r="A506" s="29" t="inlineStr"/>
    </row>
    <row r="507">
      <c r="A507" s="29" t="inlineStr">
        <is>
          <t>def assert_metrics_admissible(specs: Sequence[MetricSpec]) -&gt; None:</t>
        </is>
      </c>
    </row>
    <row r="508">
      <c r="A508" s="29" t="inlineStr">
        <is>
          <t xml:space="preserve">    for s in specs:</t>
        </is>
      </c>
    </row>
    <row r="509">
      <c r="A509" s="29" t="inlineStr">
        <is>
          <t xml:space="preserve">        reasons = gate_metric_spec(s)</t>
        </is>
      </c>
    </row>
    <row r="510">
      <c r="A510" s="29" t="inlineStr">
        <is>
          <t xml:space="preserve">        if reasons:</t>
        </is>
      </c>
    </row>
    <row r="511">
      <c r="A511" s="29" t="inlineStr">
        <is>
          <t xml:space="preserve">            raise WatchlistRefused(metric_refusal_message(s, reasons))</t>
        </is>
      </c>
    </row>
    <row r="512">
      <c r="A512" s="29" t="inlineStr"/>
    </row>
    <row r="513">
      <c r="A513" s="29" t="inlineStr"/>
    </row>
    <row r="514">
      <c r="A514" s="29" t="inlineStr">
        <is>
          <t>def evaluate_peers(cfg: Config):</t>
        </is>
      </c>
    </row>
    <row r="515">
      <c r="A515" s="29" t="inlineStr">
        <is>
          <t xml:space="preserve">    """(admitted, refusals, excluded): admitted peers are fetched and landed;</t>
        </is>
      </c>
    </row>
    <row r="516">
      <c r="A516" s="29" t="inlineStr">
        <is>
          <t xml:space="preserve">    refusals is [(peer, message)] -- those slots are never fetched and are</t>
        </is>
      </c>
    </row>
    <row r="517">
      <c r="A517" s="29" t="inlineStr">
        <is>
          <t xml:space="preserve">    blanked; excluded is the active=FALSE list (blanked, not refused)."""</t>
        </is>
      </c>
    </row>
    <row r="518">
      <c r="A518" s="29" t="inlineStr">
        <is>
          <t xml:space="preserve">    admitted, refusals, excluded = [], [], []</t>
        </is>
      </c>
    </row>
    <row r="519">
      <c r="A519" s="29" t="inlineStr">
        <is>
          <t xml:space="preserve">    for peer in cfg.peers:</t>
        </is>
      </c>
    </row>
    <row r="520">
      <c r="A520" s="29" t="inlineStr">
        <is>
          <t xml:space="preserve">        if not peer.has_bank:</t>
        </is>
      </c>
    </row>
    <row r="521">
      <c r="A521" s="29" t="inlineStr">
        <is>
          <t xml:space="preserve">            continue</t>
        </is>
      </c>
    </row>
    <row r="522">
      <c r="A522" s="29" t="inlineStr">
        <is>
          <t xml:space="preserve">        if not peer.active:</t>
        </is>
      </c>
    </row>
    <row r="523">
      <c r="A523" s="29" t="inlineStr">
        <is>
          <t xml:space="preserve">            excluded.append(peer)</t>
        </is>
      </c>
    </row>
    <row r="524">
      <c r="A524" s="29" t="inlineStr">
        <is>
          <t xml:space="preserve">            continue</t>
        </is>
      </c>
    </row>
    <row r="525">
      <c r="A525" s="29" t="inlineStr">
        <is>
          <t xml:space="preserve">        reasons = gate_peer_row(peer)</t>
        </is>
      </c>
    </row>
    <row r="526">
      <c r="A526" s="29" t="inlineStr">
        <is>
          <t xml:space="preserve">        if reasons:</t>
        </is>
      </c>
    </row>
    <row r="527">
      <c r="A527" s="29" t="inlineStr">
        <is>
          <t xml:space="preserve">            refusals.append((peer, peer_refusal_message(peer, reasons)))</t>
        </is>
      </c>
    </row>
    <row r="528">
      <c r="A528" s="29" t="inlineStr">
        <is>
          <t xml:space="preserve">        else:</t>
        </is>
      </c>
    </row>
    <row r="529">
      <c r="A529" s="29" t="inlineStr">
        <is>
          <t xml:space="preserve">            admitted.append(peer)</t>
        </is>
      </c>
    </row>
    <row r="530">
      <c r="A530" s="29" t="inlineStr">
        <is>
          <t xml:space="preserve">    return admitted, refusals, excluded</t>
        </is>
      </c>
    </row>
    <row r="531">
      <c r="A531" s="29" t="inlineStr"/>
    </row>
    <row r="532">
      <c r="A532" s="29" t="inlineStr"/>
    </row>
    <row r="533">
      <c r="A533" s="29" t="inlineStr">
        <is>
          <t>def assert_entity_gates(cfg: Config) -&gt; None:</t>
        </is>
      </c>
    </row>
    <row r="534">
      <c r="A534" s="29" t="inlineStr">
        <is>
          <t xml:space="preserve">    """BUILD-TIME hard gate backing the runtime gates (defense in depth)."""</t>
        </is>
      </c>
    </row>
    <row r="535">
      <c r="A535" s="29" t="inlineStr">
        <is>
          <t xml:space="preserve">    assert_metrics_admissible(METRIC_SPECS)</t>
        </is>
      </c>
    </row>
    <row r="536">
      <c r="A536" s="29" t="inlineStr">
        <is>
          <t xml:space="preserve">    _, refusals, _ = evaluate_peers(cfg)</t>
        </is>
      </c>
    </row>
    <row r="537">
      <c r="A537" s="29" t="inlineStr">
        <is>
          <t xml:space="preserve">    if refusals:</t>
        </is>
      </c>
    </row>
    <row r="538">
      <c r="A538" s="29" t="inlineStr">
        <is>
          <t xml:space="preserve">        raise WatchlistRefused(refusals[0][1])</t>
        </is>
      </c>
    </row>
    <row r="539">
      <c r="A539" s="29" t="inlineStr"/>
    </row>
    <row r="540">
      <c r="A540" s="29" t="inlineStr"/>
    </row>
    <row r="541">
      <c r="A541" s="29" t="inlineStr">
        <is>
          <t>def validate_peer_capacity(cfg: Config) -&gt; None:</t>
        </is>
      </c>
    </row>
    <row r="542">
      <c r="A542" s="29" t="inlineStr">
        <is>
          <t xml:space="preserve">    cap = cfg.peer_slots</t>
        </is>
      </c>
    </row>
    <row r="543">
      <c r="A543" s="29" t="inlineStr">
        <is>
          <t xml:space="preserve">    banked = [p for p in cfg.peers if p.has_bank]</t>
        </is>
      </c>
    </row>
    <row r="544">
      <c r="A544" s="29" t="inlineStr">
        <is>
          <t xml:space="preserve">    seen: Dict[int, PeerRow] = {}</t>
        </is>
      </c>
    </row>
    <row r="545">
      <c r="A545" s="29" t="inlineStr">
        <is>
          <t xml:space="preserve">    bad = []</t>
        </is>
      </c>
    </row>
    <row r="546">
      <c r="A546" s="29" t="inlineStr">
        <is>
          <t xml:space="preserve">    for p in banked:</t>
        </is>
      </c>
    </row>
    <row r="547">
      <c r="A547" s="29" t="inlineStr">
        <is>
          <t xml:space="preserve">        if p.slot is None or p.slot &lt; 1 or p.slot &gt; cap:</t>
        </is>
      </c>
    </row>
    <row r="548">
      <c r="A548" s="29" t="inlineStr">
        <is>
          <t xml:space="preserve">            bad.append(p)</t>
        </is>
      </c>
    </row>
    <row r="549">
      <c r="A549" s="29" t="inlineStr">
        <is>
          <t xml:space="preserve">        elif p.slot in seen:</t>
        </is>
      </c>
    </row>
    <row r="550">
      <c r="A550" s="29" t="inlineStr">
        <is>
          <t xml:space="preserve">            raise PeerCapacityError(</t>
        </is>
      </c>
    </row>
    <row r="551">
      <c r="A551" s="29" t="inlineStr">
        <is>
          <t xml:space="preserve">                f"[PEERS] slot {p.slot} is listed twice "</t>
        </is>
      </c>
    </row>
    <row r="552">
      <c r="A552" s="29" t="inlineStr">
        <is>
          <t xml:space="preserve">                f'("{seen[p.slot].name}" and "{p.name}"); slots must be '</t>
        </is>
      </c>
    </row>
    <row r="553">
      <c r="A553" s="29" t="inlineStr">
        <is>
          <t xml:space="preserve">                "unique -- fix the [PEERS] table.")</t>
        </is>
      </c>
    </row>
    <row r="554">
      <c r="A554" s="29" t="inlineStr">
        <is>
          <t xml:space="preserve">        else:</t>
        </is>
      </c>
    </row>
    <row r="555">
      <c r="A555" s="29" t="inlineStr">
        <is>
          <t xml:space="preserve">            seen[p.slot] = p</t>
        </is>
      </c>
    </row>
    <row r="556">
      <c r="A556" s="29" t="inlineStr">
        <is>
          <t xml:space="preserve">    if bad:</t>
        </is>
      </c>
    </row>
    <row r="557">
      <c r="A557" s="29" t="inlineStr">
        <is>
          <t xml:space="preserve">        need = max(len(banked), max((p.slot or 0) for p in banked))</t>
        </is>
      </c>
    </row>
    <row r="558">
      <c r="A558" s="29" t="inlineStr">
        <is>
          <t xml:space="preserve">        names = ", ".join(f'"{p.name or p.cik}" (slot {p.slot})' for p in bad)</t>
        </is>
      </c>
    </row>
    <row r="559">
      <c r="A559" s="29" t="inlineStr">
        <is>
          <t xml:space="preserve">        raise PeerCapacityError(</t>
        </is>
      </c>
    </row>
    <row r="560">
      <c r="A560" s="29" t="inlineStr">
        <is>
          <t xml:space="preserve">            f"[PEERS] lists more peers than the workbook was built for: "</t>
        </is>
      </c>
    </row>
    <row r="561">
      <c r="A561" s="29" t="inlineStr">
        <is>
          <t xml:space="preserve">            f"{names} outside the built capacity of {cap} slots. The runner "</t>
        </is>
      </c>
    </row>
    <row r="562">
      <c r="A562" s="29" t="inlineStr">
        <is>
          <t xml:space="preserve">            f"never truncates a peer list -- rebuild with "</t>
        </is>
      </c>
    </row>
    <row r="563">
      <c r="A563" s="29" t="inlineStr">
        <is>
          <t xml:space="preserve">            f"--peer-slots {max(need, cap + 1)} "</t>
        </is>
      </c>
    </row>
    <row r="564">
      <c r="A564" s="29" t="inlineStr">
        <is>
          <t xml:space="preserve">            f"(python make_workbook.py --peer-slots {max(need, cap + 1)}).")</t>
        </is>
      </c>
    </row>
    <row r="565">
      <c r="A565" s="29" t="inlineStr"/>
    </row>
    <row r="566">
      <c r="A566" s="29" t="inlineStr"/>
    </row>
    <row r="567">
      <c r="A567" s="29" t="inlineStr">
        <is>
          <t># ---------------------------------------------------------------------------</t>
        </is>
      </c>
    </row>
    <row r="568">
      <c r="A568" s="29" t="inlineStr">
        <is>
          <t># THRESHOLD ENGINE -- config-driven OK/WATCH/ALERT, direction-aware.</t>
        </is>
      </c>
    </row>
    <row r="569">
      <c r="A569" s="29" t="inlineStr">
        <is>
          <t># Thresholds are HEURISTIC and labeled so in _config (BUILD SPEC sec 3).</t>
        </is>
      </c>
    </row>
    <row r="570">
      <c r="A570" s="29" t="inlineStr">
        <is>
          <t># ---------------------------------------------------------------------------</t>
        </is>
      </c>
    </row>
    <row r="571">
      <c r="A571" s="29" t="inlineStr">
        <is>
          <t>def status_for(value: Optional[float], thr: Optional[Threshold]) -&gt; str:</t>
        </is>
      </c>
    </row>
    <row r="572">
      <c r="A572" s="29" t="inlineStr">
        <is>
          <t xml:space="preserve">    if value is None or thr is None or (isinstance(value, float)</t>
        </is>
      </c>
    </row>
    <row r="573">
      <c r="A573" s="29" t="inlineStr">
        <is>
          <t xml:space="preserve">                                        and math.isnan(value)):</t>
        </is>
      </c>
    </row>
    <row r="574">
      <c r="A574" s="29" t="inlineStr">
        <is>
          <t xml:space="preserve">        return "OK"</t>
        </is>
      </c>
    </row>
    <row r="575">
      <c r="A575" s="29" t="inlineStr">
        <is>
          <t xml:space="preserve">    above = thr.direction != "below"</t>
        </is>
      </c>
    </row>
    <row r="576">
      <c r="A576" s="29" t="inlineStr"/>
    </row>
    <row r="577">
      <c r="A577" s="29" t="inlineStr">
        <is>
          <t xml:space="preserve">    def hit(bound):</t>
        </is>
      </c>
    </row>
    <row r="578">
      <c r="A578" s="29" t="inlineStr">
        <is>
          <t xml:space="preserve">        if bound is None:</t>
        </is>
      </c>
    </row>
    <row r="579">
      <c r="A579" s="29" t="inlineStr">
        <is>
          <t xml:space="preserve">            return False</t>
        </is>
      </c>
    </row>
    <row r="580">
      <c r="A580" s="29" t="inlineStr">
        <is>
          <t xml:space="preserve">        return value &gt;= bound if above else value &lt;= bound</t>
        </is>
      </c>
    </row>
    <row r="581">
      <c r="A581" s="29" t="inlineStr"/>
    </row>
    <row r="582">
      <c r="A582" s="29" t="inlineStr">
        <is>
          <t xml:space="preserve">    if hit(thr.alert):</t>
        </is>
      </c>
    </row>
    <row r="583">
      <c r="A583" s="29" t="inlineStr">
        <is>
          <t xml:space="preserve">        return "ALERT"</t>
        </is>
      </c>
    </row>
    <row r="584">
      <c r="A584" s="29" t="inlineStr">
        <is>
          <t xml:space="preserve">    if hit(thr.watch):</t>
        </is>
      </c>
    </row>
    <row r="585">
      <c r="A585" s="29" t="inlineStr">
        <is>
          <t xml:space="preserve">        return "WATCH"</t>
        </is>
      </c>
    </row>
    <row r="586">
      <c r="A586" s="29" t="inlineStr">
        <is>
          <t xml:space="preserve">    return "OK"</t>
        </is>
      </c>
    </row>
    <row r="587">
      <c r="A587" s="29" t="inlineStr"/>
    </row>
    <row r="588">
      <c r="A588" s="29" t="inlineStr"/>
    </row>
    <row r="589">
      <c r="A589" s="29" t="inlineStr">
        <is>
          <t># ---------------------------------------------------------------------------</t>
        </is>
      </c>
    </row>
    <row r="590">
      <c r="A590" s="29" t="inlineStr">
        <is>
          <t># STALENESS GUARD (BUILD SPEC sec 3 -- late filer / delisted?)</t>
        </is>
      </c>
    </row>
    <row r="591">
      <c r="A591" s="29" t="inlineStr">
        <is>
          <t># ---------------------------------------------------------------------------</t>
        </is>
      </c>
    </row>
    <row r="592">
      <c r="A592" s="29" t="inlineStr">
        <is>
          <t>def is_stale_bank(last_period: Optional[str], set_max_period: Optional[str],</t>
        </is>
      </c>
    </row>
    <row r="593">
      <c r="A593" s="29" t="inlineStr">
        <is>
          <t xml:space="preserve">                  stale_multiplier: float) -&gt; bool:</t>
        </is>
      </c>
    </row>
    <row r="594">
      <c r="A594" s="29" t="inlineStr">
        <is>
          <t xml:space="preserve">    if last_period is None:</t>
        </is>
      </c>
    </row>
    <row r="595">
      <c r="A595" s="29" t="inlineStr">
        <is>
          <t xml:space="preserve">        return True</t>
        </is>
      </c>
    </row>
    <row r="596">
      <c r="A596" s="29" t="inlineStr">
        <is>
          <t xml:space="preserve">    if set_max_period is None:</t>
        </is>
      </c>
    </row>
    <row r="597">
      <c r="A597" s="29" t="inlineStr">
        <is>
          <t xml:space="preserve">        return False</t>
        </is>
      </c>
    </row>
    <row r="598">
      <c r="A598" s="29" t="inlineStr">
        <is>
          <t xml:space="preserve">    try:</t>
        </is>
      </c>
    </row>
    <row r="599">
      <c r="A599" s="29" t="inlineStr">
        <is>
          <t xml:space="preserve">        last = date.fromisoformat(str(last_period)[:10])</t>
        </is>
      </c>
    </row>
    <row r="600">
      <c r="A600" s="29" t="inlineStr">
        <is>
          <t xml:space="preserve">        mx = date.fromisoformat(str(set_max_period)[:10])</t>
        </is>
      </c>
    </row>
    <row r="601">
      <c r="A601" s="29" t="inlineStr">
        <is>
          <t xml:space="preserve">    except ValueError:</t>
        </is>
      </c>
    </row>
    <row r="602">
      <c r="A602" s="29" t="inlineStr">
        <is>
          <t xml:space="preserve">        return True</t>
        </is>
      </c>
    </row>
    <row r="603">
      <c r="A603" s="29" t="inlineStr">
        <is>
          <t xml:space="preserve">    return (mx - last).days &gt; stale_multiplier * QUARTER_DAYS</t>
        </is>
      </c>
    </row>
    <row r="604">
      <c r="A604" s="29" t="inlineStr"/>
    </row>
    <row r="605">
      <c r="A605" s="29" t="inlineStr"/>
    </row>
    <row r="606">
      <c r="A606" s="29" t="inlineStr">
        <is>
          <t># ---------------------------------------------------------------------------</t>
        </is>
      </c>
    </row>
    <row r="607">
      <c r="A607" s="29" t="inlineStr">
        <is>
          <t># THE PROVIDER SEAM -- normalized facts + events</t>
        </is>
      </c>
    </row>
    <row r="608">
      <c r="A608" s="29" t="inlineStr">
        <is>
          <t># ---------------------------------------------------------------------------</t>
        </is>
      </c>
    </row>
    <row r="609">
      <c r="A609" s="29" t="inlineStr">
        <is>
          <t>@dataclass</t>
        </is>
      </c>
    </row>
    <row r="610">
      <c r="A610" s="29" t="inlineStr">
        <is>
          <t>class Fact:</t>
        </is>
      </c>
    </row>
    <row r="611">
      <c r="A611" s="29" t="inlineStr">
        <is>
          <t xml:space="preserve">    """One dimensional CQI fact: amortized cost for (grade member x class</t>
        </is>
      </c>
    </row>
    <row r="612">
      <c r="A612" s="29" t="inlineStr">
        <is>
          <t xml:space="preserve">    member) at a quarter end, with its accession + acceptance timestamp</t>
        </is>
      </c>
    </row>
    <row r="613">
      <c r="A613" s="29" t="inlineStr">
        <is>
          <t xml:space="preserve">    (provenance, contract sec 12). Member qnames stay NAMESPACE-QUALIFIED</t>
        </is>
      </c>
    </row>
    <row r="614">
      <c r="A614" s="29" t="inlineStr">
        <is>
          <t xml:space="preserve">    (extensions matter -- trap E4)."""</t>
        </is>
      </c>
    </row>
    <row r="615">
      <c r="A615" s="29" t="inlineStr">
        <is>
          <t xml:space="preserve">    cik: str</t>
        </is>
      </c>
    </row>
    <row r="616">
      <c r="A616" s="29" t="inlineStr">
        <is>
          <t xml:space="preserve">    period: str            # ISO quarter-end (the filing's reportDate)</t>
        </is>
      </c>
    </row>
    <row r="617">
      <c r="A617" s="29" t="inlineStr">
        <is>
          <t xml:space="preserve">    tag: str               # TAG_PRIMARY or TAG_EXCL (trap E2)</t>
        </is>
      </c>
    </row>
    <row r="618">
      <c r="A618" s="29" t="inlineStr">
        <is>
          <t xml:space="preserve">    class_qname: str       # "" = grade total across classes</t>
        </is>
      </c>
    </row>
    <row r="619">
      <c r="A619" s="29" t="inlineStr">
        <is>
          <t xml:space="preserve">    grade_qname: str</t>
        </is>
      </c>
    </row>
    <row r="620">
      <c r="A620" s="29" t="inlineStr">
        <is>
          <t xml:space="preserve">    value: float           # USD</t>
        </is>
      </c>
    </row>
    <row r="621">
      <c r="A621" s="29" t="inlineStr">
        <is>
          <t xml:space="preserve">    accession: str</t>
        </is>
      </c>
    </row>
    <row r="622">
      <c r="A622" s="29" t="inlineStr">
        <is>
          <t xml:space="preserve">    acceptance: str</t>
        </is>
      </c>
    </row>
    <row r="623">
      <c r="A623" s="29" t="inlineStr">
        <is>
          <t xml:space="preserve">    form: str</t>
        </is>
      </c>
    </row>
    <row r="624">
      <c r="A624" s="29" t="inlineStr">
        <is>
          <t xml:space="preserve">    source_class: str = "A"</t>
        </is>
      </c>
    </row>
    <row r="625">
      <c r="A625" s="29" t="inlineStr"/>
    </row>
    <row r="626">
      <c r="A626" s="29" t="inlineStr"/>
    </row>
    <row r="627">
      <c r="A627" s="29" t="inlineStr">
        <is>
          <t>@dataclass</t>
        </is>
      </c>
    </row>
    <row r="628">
      <c r="A628" s="29" t="inlineStr">
        <is>
          <t>class Event:</t>
        </is>
      </c>
    </row>
    <row r="629">
      <c r="A629" s="29" t="inlineStr">
        <is>
          <t xml:space="preserve">    """One harvested 8-K credit-event item."""</t>
        </is>
      </c>
    </row>
    <row r="630">
      <c r="A630" s="29" t="inlineStr">
        <is>
          <t xml:space="preserve">    cik: str</t>
        </is>
      </c>
    </row>
    <row r="631">
      <c r="A631" s="29" t="inlineStr">
        <is>
          <t xml:space="preserve">    date: str              # filingDate ISO</t>
        </is>
      </c>
    </row>
    <row r="632">
      <c r="A632" s="29" t="inlineStr">
        <is>
          <t xml:space="preserve">    item: str</t>
        </is>
      </c>
    </row>
    <row r="633">
      <c r="A633" s="29" t="inlineStr">
        <is>
          <t xml:space="preserve">    form: str</t>
        </is>
      </c>
    </row>
    <row r="634">
      <c r="A634" s="29" t="inlineStr">
        <is>
          <t xml:space="preserve">    accession: str</t>
        </is>
      </c>
    </row>
    <row r="635">
      <c r="A635" s="29" t="inlineStr">
        <is>
          <t xml:space="preserve">    source_class: str = "A"</t>
        </is>
      </c>
    </row>
    <row r="636">
      <c r="A636" s="29" t="inlineStr"/>
    </row>
    <row r="637">
      <c r="A637" s="29" t="inlineStr"/>
    </row>
    <row r="638">
      <c r="A638" s="29" t="inlineStr">
        <is>
          <t>@dataclass</t>
        </is>
      </c>
    </row>
    <row r="639">
      <c r="A639" s="29" t="inlineStr">
        <is>
          <t>class NormalizedRow:</t>
        </is>
      </c>
    </row>
    <row r="640">
      <c r="A640" s="29" t="inlineStr">
        <is>
          <t xml:space="preserve">    """The contract sec 6 seam shape (id/period/value/geo_segment/</t>
        </is>
      </c>
    </row>
    <row r="641">
      <c r="A641" s="29" t="inlineStr">
        <is>
          <t xml:space="preserve">    source_class/units); canonical-metric rows are emitted through it by the</t>
        </is>
      </c>
    </row>
    <row r="642">
      <c r="A642" s="29" t="inlineStr">
        <is>
          <t xml:space="preserve">    engine for the digest."""</t>
        </is>
      </c>
    </row>
    <row r="643">
      <c r="A643" s="29" t="inlineStr">
        <is>
          <t xml:space="preserve">    id: str</t>
        </is>
      </c>
    </row>
    <row r="644">
      <c r="A644" s="29" t="inlineStr">
        <is>
          <t xml:space="preserve">    period: str</t>
        </is>
      </c>
    </row>
    <row r="645">
      <c r="A645" s="29" t="inlineStr">
        <is>
          <t xml:space="preserve">    value: Optional[float]</t>
        </is>
      </c>
    </row>
    <row r="646">
      <c r="A646" s="29" t="inlineStr">
        <is>
          <t xml:space="preserve">    geo_segment: str</t>
        </is>
      </c>
    </row>
    <row r="647">
      <c r="A647" s="29" t="inlineStr">
        <is>
          <t xml:space="preserve">    source_class: str</t>
        </is>
      </c>
    </row>
    <row r="648">
      <c r="A648" s="29" t="inlineStr">
        <is>
          <t xml:space="preserve">    units: str = "pct"</t>
        </is>
      </c>
    </row>
    <row r="649">
      <c r="A649" s="29" t="inlineStr"/>
    </row>
    <row r="650">
      <c r="A650" s="29" t="inlineStr"/>
    </row>
    <row r="651">
      <c r="A651" s="29" t="inlineStr">
        <is>
          <t>class Provider:</t>
        </is>
      </c>
    </row>
    <row r="652">
      <c r="A652" s="29" t="inlineStr">
        <is>
          <t xml:space="preserve">    source_class = "A"</t>
        </is>
      </c>
    </row>
    <row r="653">
      <c r="A653" s="29" t="inlineStr">
        <is>
          <t xml:space="preserve">    vintage: Optional[str] = None</t>
        </is>
      </c>
    </row>
    <row r="654">
      <c r="A654" s="29" t="inlineStr"/>
    </row>
    <row r="655">
      <c r="A655" s="29" t="inlineStr">
        <is>
          <t xml:space="preserve">    def prime(self, ciks: Sequence[str], asof: date,</t>
        </is>
      </c>
    </row>
    <row r="656">
      <c r="A656" s="29" t="inlineStr">
        <is>
          <t xml:space="preserve">              names: Optional[Dict[str, str]] = None) -&gt; None:  # pragma: no cover</t>
        </is>
      </c>
    </row>
    <row r="657">
      <c r="A657" s="29" t="inlineStr">
        <is>
          <t xml:space="preserve">        raise NotImplementedError</t>
        </is>
      </c>
    </row>
    <row r="658">
      <c r="A658" s="29" t="inlineStr"/>
    </row>
    <row r="659">
      <c r="A659" s="29" t="inlineStr">
        <is>
          <t xml:space="preserve">    def fetch_facts(self, cik: str) -&gt; List[Fact]:  # pragma: no cover</t>
        </is>
      </c>
    </row>
    <row r="660">
      <c r="A660" s="29" t="inlineStr">
        <is>
          <t xml:space="preserve">        raise NotImplementedError</t>
        </is>
      </c>
    </row>
    <row r="661">
      <c r="A661" s="29" t="inlineStr"/>
    </row>
    <row r="662">
      <c r="A662" s="29" t="inlineStr">
        <is>
          <t xml:space="preserve">    def fetch_events(self, cik: str) -&gt; List[Event]:  # pragma: no cover</t>
        </is>
      </c>
    </row>
    <row r="663">
      <c r="A663" s="29" t="inlineStr">
        <is>
          <t xml:space="preserve">        raise NotImplementedError</t>
        </is>
      </c>
    </row>
    <row r="664">
      <c r="A664" s="29" t="inlineStr"/>
    </row>
    <row r="665">
      <c r="A665" s="29" t="inlineStr"/>
    </row>
    <row r="666">
      <c r="A666" s="29" t="inlineStr">
        <is>
          <t># ---------------------------------------------------------------------------</t>
        </is>
      </c>
    </row>
    <row r="667">
      <c r="A667" s="29" t="inlineStr">
        <is>
          <t># EdgarDemoProvider -- deterministic offline stand-in (BUILD SPEC 0.7).</t>
        </is>
      </c>
    </row>
    <row r="668">
      <c r="A668" s="29" t="inlineStr">
        <is>
          <t># Values are FICTION seeded per (cik, class, grade, quarter): the same bank</t>
        </is>
      </c>
    </row>
    <row r="669">
      <c r="A669" s="29" t="inlineStr">
        <is>
          <t># yields the same history in any slot. Families are honored: grades_full</t>
        </is>
      </c>
    </row>
    <row r="670">
      <c r="A670" s="29" t="inlineStr">
        <is>
          <t># banks emit pass/SM/substandard/doubtful facts (Huntington emits its OLEM</t>
        </is>
      </c>
    </row>
    <row r="671">
      <c r="A671" s="29" t="inlineStr">
        <is>
          <t># extension member instead of the standard SM member -- exercises the</t>
        </is>
      </c>
    </row>
    <row r="672">
      <c r="A672" s="29" t="inlineStr">
        <is>
          <t># extension mapping); criticized_only banks emit pass + criticized-accruing/</t>
        </is>
      </c>
    </row>
    <row r="673">
      <c r="A673" s="29" t="inlineStr">
        <is>
          <t># nonaccruing extension members; ig_nig banks emit ONLY IG/NIG members so</t>
        </is>
      </c>
    </row>
    <row r="674">
      <c r="A674" s="29" t="inlineStr">
        <is>
          <t># Tier 1 AND Tier 2 render N/A. One bank (Comerica) trips the</t>
        </is>
      </c>
    </row>
    <row r="675">
      <c r="A675" s="29" t="inlineStr">
        <is>
          <t># criticized_ratio ALERT band; one (Zions) carries a 2.04 8-K (auto-WATCH);</t>
        </is>
      </c>
    </row>
    <row r="676">
      <c r="A676" s="29" t="inlineStr">
        <is>
          <t># one unknown extension member appears for exactly one bank (Fifth Third) so</t>
        </is>
      </c>
    </row>
    <row r="677">
      <c r="A677" s="29" t="inlineStr">
        <is>
          <t># the bootstrap/unmapped path is exercised. Accessions are deterministic</t>
        </is>
      </c>
    </row>
    <row r="678">
      <c r="A678" s="29" t="inlineStr">
        <is>
          <t># ("0000035527-26-000001" style). NO network, NO key.</t>
        </is>
      </c>
    </row>
    <row r="679">
      <c r="A679" s="29" t="inlineStr">
        <is>
          <t># ---------------------------------------------------------------------------</t>
        </is>
      </c>
    </row>
    <row r="680">
      <c r="A680" s="29" t="inlineStr">
        <is>
          <t>DEMO_FAMILY = {</t>
        </is>
      </c>
    </row>
    <row r="681">
      <c r="A681" s="29" t="inlineStr">
        <is>
          <t xml:space="preserve">    "35527": "grades_full", "1281761": "grades_full", "109380": "grades_full",</t>
        </is>
      </c>
    </row>
    <row r="682">
      <c r="A682" s="29" t="inlineStr">
        <is>
          <t xml:space="preserve">    "28412": "grades_full", "49196": "grades_full", "92230": "grades_full",</t>
        </is>
      </c>
    </row>
    <row r="683">
      <c r="A683" s="29" t="inlineStr">
        <is>
          <t xml:space="preserve">    "875357": "grades_full", "91576": "criticized_only",</t>
        </is>
      </c>
    </row>
    <row r="684">
      <c r="A684" s="29" t="inlineStr">
        <is>
          <t xml:space="preserve">    "36270": "criticized_only", "36104": "ig_nig",</t>
        </is>
      </c>
    </row>
    <row r="685">
      <c r="A685" s="29" t="inlineStr">
        <is>
          <t>}</t>
        </is>
      </c>
    </row>
    <row r="686">
      <c r="A686" s="29" t="inlineStr">
        <is>
          <t>DEMO_ALERT_CIK = "28412"       # Comerica: criticized_ratio ALERT tier</t>
        </is>
      </c>
    </row>
    <row r="687">
      <c r="A687" s="29" t="inlineStr">
        <is>
          <t>DEMO_WATCH_CIK = "109380"      # Zions: WATCH tier + the 2.04 8-K</t>
        </is>
      </c>
    </row>
    <row r="688">
      <c r="A688" s="29" t="inlineStr">
        <is>
          <t>DEMO_EXTENSION_CIK = "35527"   # Fifth Third: emits one UNSEEDED ext member</t>
        </is>
      </c>
    </row>
    <row r="689">
      <c r="A689" s="29" t="inlineStr">
        <is>
          <t>DEMO_EXTENSION_MEMBER = "fitb:CriticizedRestructuredMember"</t>
        </is>
      </c>
    </row>
    <row r="690">
      <c r="A690" s="29" t="inlineStr"/>
    </row>
    <row r="691">
      <c r="A691" s="29" t="inlineStr">
        <is>
          <t>DEMO_CLASS_MEMBERS = [</t>
        </is>
      </c>
    </row>
    <row r="692">
      <c r="A692" s="29" t="inlineStr">
        <is>
          <t xml:space="preserve">    ("us-gaap:CommercialPortfolioSegmentMember", 0.42),</t>
        </is>
      </c>
    </row>
    <row r="693">
      <c r="A693" s="29" t="inlineStr">
        <is>
          <t xml:space="preserve">    ("us-gaap:CommercialRealEstatePortfolioSegmentMember", 0.34),</t>
        </is>
      </c>
    </row>
    <row r="694">
      <c r="A694" s="29" t="inlineStr">
        <is>
          <t xml:space="preserve">    ("us-gaap:ConstructionLoansMember", 0.10),</t>
        </is>
      </c>
    </row>
    <row r="695">
      <c r="A695" s="29" t="inlineStr">
        <is>
          <t xml:space="preserve">    ("us-gaap:CommercialLoanMember", 0.14),</t>
        </is>
      </c>
    </row>
    <row r="696">
      <c r="A696" s="29" t="inlineStr">
        <is>
          <t>]</t>
        </is>
      </c>
    </row>
    <row r="697">
      <c r="A697" s="29" t="inlineStr">
        <is>
          <t>DEMO_CO_MEMBERS = {            # criticized_only extension qnames per bank</t>
        </is>
      </c>
    </row>
    <row r="698">
      <c r="A698" s="29" t="inlineStr">
        <is>
          <t xml:space="preserve">    "91576": ("key:CriticizedAccruingMember", "key:CriticizedNonaccrualMember"),</t>
        </is>
      </c>
    </row>
    <row r="699">
      <c r="A699" s="29" t="inlineStr">
        <is>
          <t xml:space="preserve">    "36270": ("mtb:CriticizedAccruingMember", "mtb:CriticizedNonaccrualMember"),</t>
        </is>
      </c>
    </row>
    <row r="700">
      <c r="A700" s="29" t="inlineStr">
        <is>
          <t>}</t>
        </is>
      </c>
    </row>
    <row r="701">
      <c r="A701" s="29" t="inlineStr"/>
    </row>
    <row r="702">
      <c r="A702" s="29" t="inlineStr"/>
    </row>
    <row r="703">
      <c r="A703" s="29" t="inlineStr">
        <is>
          <t>class EdgarDemoProvider(Provider):</t>
        </is>
      </c>
    </row>
    <row r="704">
      <c r="A704" s="29" t="inlineStr">
        <is>
          <t xml:space="preserve">    source_class = "A"</t>
        </is>
      </c>
    </row>
    <row r="705">
      <c r="A705" s="29" t="inlineStr"/>
    </row>
    <row r="706">
      <c r="A706" s="29" t="inlineStr">
        <is>
          <t xml:space="preserve">    def __init__(self, asof: Optional[date] = None,</t>
        </is>
      </c>
    </row>
    <row r="707">
      <c r="A707" s="29" t="inlineStr">
        <is>
          <t xml:space="preserve">                 raw_slots: int = RAW_SLOTS_DEFAULT):</t>
        </is>
      </c>
    </row>
    <row r="708">
      <c r="A708" s="29" t="inlineStr">
        <is>
          <t xml:space="preserve">        self.asof = asof or date(2026, 3, 31)</t>
        </is>
      </c>
    </row>
    <row r="709">
      <c r="A709" s="29" t="inlineStr">
        <is>
          <t xml:space="preserve">        self.raw_slots = int(raw_slots)</t>
        </is>
      </c>
    </row>
    <row r="710">
      <c r="A710" s="29" t="inlineStr">
        <is>
          <t xml:space="preserve">        self.vintage = "demo data (EdgarDemoProvider -- no live vintage)"</t>
        </is>
      </c>
    </row>
    <row r="711">
      <c r="A711" s="29" t="inlineStr">
        <is>
          <t xml:space="preserve">        self.names: Dict[str, str] = {}</t>
        </is>
      </c>
    </row>
    <row r="712">
      <c r="A712" s="29" t="inlineStr">
        <is>
          <t xml:space="preserve">        self._facts: Dict[str, List[Fact]] = {}</t>
        </is>
      </c>
    </row>
    <row r="713">
      <c r="A713" s="29" t="inlineStr">
        <is>
          <t xml:space="preserve">        self._events: Dict[str, List[Event]] = {}</t>
        </is>
      </c>
    </row>
    <row r="714">
      <c r="A714" s="29" t="inlineStr"/>
    </row>
    <row r="715">
      <c r="A715" s="29" t="inlineStr">
        <is>
          <t xml:space="preserve">    def prime(self, ciks, asof=None, names=None):</t>
        </is>
      </c>
    </row>
    <row r="716">
      <c r="A716" s="29" t="inlineStr">
        <is>
          <t xml:space="preserve">        self.names.update(names or {})</t>
        </is>
      </c>
    </row>
    <row r="717">
      <c r="A717" s="29" t="inlineStr">
        <is>
          <t xml:space="preserve">        for c in ciks:</t>
        </is>
      </c>
    </row>
    <row r="718">
      <c r="A718" s="29" t="inlineStr">
        <is>
          <t xml:space="preserve">            self._profile(str(c))</t>
        </is>
      </c>
    </row>
    <row r="719">
      <c r="A719" s="29" t="inlineStr"/>
    </row>
    <row r="720">
      <c r="A720" s="29" t="inlineStr">
        <is>
          <t xml:space="preserve">    @staticmethod</t>
        </is>
      </c>
    </row>
    <row r="721">
      <c r="A721" s="29" t="inlineStr">
        <is>
          <t xml:space="preserve">    def _seed(cik: str) -&gt; int:</t>
        </is>
      </c>
    </row>
    <row r="722">
      <c r="A722" s="29" t="inlineStr">
        <is>
          <t xml:space="preserve">        try:</t>
        </is>
      </c>
    </row>
    <row r="723">
      <c r="A723" s="29" t="inlineStr">
        <is>
          <t xml:space="preserve">            n = int(cik)</t>
        </is>
      </c>
    </row>
    <row r="724">
      <c r="A724" s="29" t="inlineStr">
        <is>
          <t xml:space="preserve">        except ValueError:</t>
        </is>
      </c>
    </row>
    <row r="725">
      <c r="A725" s="29" t="inlineStr">
        <is>
          <t xml:space="preserve">            n = sum((i + 1) * ord(c) for i, c in enumerate(cik))</t>
        </is>
      </c>
    </row>
    <row r="726">
      <c r="A726" s="29" t="inlineStr">
        <is>
          <t xml:space="preserve">        return (n * 2654435761) % (2 ** 32)</t>
        </is>
      </c>
    </row>
    <row r="727">
      <c r="A727" s="29" t="inlineStr"/>
    </row>
    <row r="728">
      <c r="A728" s="29" t="inlineStr">
        <is>
          <t xml:space="preserve">    def _periods(self) -&gt; List[str]:</t>
        </is>
      </c>
    </row>
    <row r="729">
      <c r="A729" s="29" t="inlineStr">
        <is>
          <t xml:space="preserve">        idx = pd.period_range(end=pd.Period(self.asof, freq="Q"),</t>
        </is>
      </c>
    </row>
    <row r="730">
      <c r="A730" s="29" t="inlineStr">
        <is>
          <t xml:space="preserve">                              periods=self.raw_slots, freq="Q")</t>
        </is>
      </c>
    </row>
    <row r="731">
      <c r="A731" s="29" t="inlineStr">
        <is>
          <t xml:space="preserve">        return [p.to_timestamp(how="end").date().isoformat() for p in idx]</t>
        </is>
      </c>
    </row>
    <row r="732">
      <c r="A732" s="29" t="inlineStr"/>
    </row>
    <row r="733">
      <c r="A733" s="29" t="inlineStr">
        <is>
          <t xml:space="preserve">    @staticmethod</t>
        </is>
      </c>
    </row>
    <row r="734">
      <c r="A734" s="29" t="inlineStr">
        <is>
          <t xml:space="preserve">    def family_for(cik: str) -&gt; str:</t>
        </is>
      </c>
    </row>
    <row r="735">
      <c r="A735" s="29" t="inlineStr">
        <is>
          <t xml:space="preserve">        c = str(int(cik)) if str(cik).isdigit() else str(cik)</t>
        </is>
      </c>
    </row>
    <row r="736">
      <c r="A736" s="29" t="inlineStr">
        <is>
          <t xml:space="preserve">        if c in DEMO_FAMILY:</t>
        </is>
      </c>
    </row>
    <row r="737">
      <c r="A737" s="29" t="inlineStr">
        <is>
          <t xml:space="preserve">            return DEMO_FAMILY[c]</t>
        </is>
      </c>
    </row>
    <row r="738">
      <c r="A738" s="29" t="inlineStr">
        <is>
          <t xml:space="preserve">        return FAMILIES[EdgarDemoProvider._seed(c) % 3]</t>
        </is>
      </c>
    </row>
    <row r="739">
      <c r="A739" s="29" t="inlineStr"/>
    </row>
    <row r="740">
      <c r="A740" s="29" t="inlineStr">
        <is>
          <t xml:space="preserve">    def _grade_members(self, cik: str):</t>
        </is>
      </c>
    </row>
    <row r="741">
      <c r="A741" s="29" t="inlineStr">
        <is>
          <t xml:space="preserve">        """[(grade_qname, criticized_share_weight)] emitted per family.</t>
        </is>
      </c>
    </row>
    <row r="742">
      <c r="A742" s="29" t="inlineStr">
        <is>
          <t xml:space="preserve">        Weights split the bank's criticized total across its members."""</t>
        </is>
      </c>
    </row>
    <row r="743">
      <c r="A743" s="29" t="inlineStr">
        <is>
          <t xml:space="preserve">        fam = self.family_for(cik)</t>
        </is>
      </c>
    </row>
    <row r="744">
      <c r="A744" s="29" t="inlineStr">
        <is>
          <t xml:space="preserve">        if fam == "criticized_only":</t>
        </is>
      </c>
    </row>
    <row r="745">
      <c r="A745" s="29" t="inlineStr">
        <is>
          <t xml:space="preserve">            acc, nac = DEMO_CO_MEMBERS.get(</t>
        </is>
      </c>
    </row>
    <row r="746">
      <c r="A746" s="29" t="inlineStr">
        <is>
          <t xml:space="preserve">                cik, ("ext:CriticizedAccruingMember",</t>
        </is>
      </c>
    </row>
    <row r="747">
      <c r="A747" s="29" t="inlineStr">
        <is>
          <t xml:space="preserve">                      "ext:CriticizedNonaccrualMember"))</t>
        </is>
      </c>
    </row>
    <row r="748">
      <c r="A748" s="29" t="inlineStr">
        <is>
          <t xml:space="preserve">            return fam, [("us-gaap:PassMember", None),</t>
        </is>
      </c>
    </row>
    <row r="749">
      <c r="A749" s="29" t="inlineStr">
        <is>
          <t xml:space="preserve">                         (acc, 0.7), (nac, 0.3)]</t>
        </is>
      </c>
    </row>
    <row r="750">
      <c r="A750" s="29" t="inlineStr">
        <is>
          <t xml:space="preserve">        if fam == "ig_nig":</t>
        </is>
      </c>
    </row>
    <row r="751">
      <c r="A751" s="29" t="inlineStr">
        <is>
          <t xml:space="preserve">            return fam, [("us-gaap:InternalInvestmentGradeMember", None),</t>
        </is>
      </c>
    </row>
    <row r="752">
      <c r="A752" s="29" t="inlineStr">
        <is>
          <t xml:space="preserve">                         ("us-gaap:InternalNoninvestmentGradeMember", None)]</t>
        </is>
      </c>
    </row>
    <row r="753">
      <c r="A753" s="29" t="inlineStr">
        <is>
          <t xml:space="preserve">        sm_q = ("hban:OlemMember" if cik == "49196"</t>
        </is>
      </c>
    </row>
    <row r="754">
      <c r="A754" s="29" t="inlineStr">
        <is>
          <t xml:space="preserve">                else "us-gaap:SpecialMentionMember")</t>
        </is>
      </c>
    </row>
    <row r="755">
      <c r="A755" s="29" t="inlineStr">
        <is>
          <t xml:space="preserve">        members = [("us-gaap:PassMember", None),</t>
        </is>
      </c>
    </row>
    <row r="756">
      <c r="A756" s="29" t="inlineStr">
        <is>
          <t xml:space="preserve">                   (sm_q, 0.45),</t>
        </is>
      </c>
    </row>
    <row r="757">
      <c r="A757" s="29" t="inlineStr">
        <is>
          <t xml:space="preserve">                   ("us-gaap:SubstandardMember", 0.45),</t>
        </is>
      </c>
    </row>
    <row r="758">
      <c r="A758" s="29" t="inlineStr">
        <is>
          <t xml:space="preserve">                   ("us-gaap:DoubtfulMember", 0.10)]</t>
        </is>
      </c>
    </row>
    <row r="759">
      <c r="A759" s="29" t="inlineStr">
        <is>
          <t xml:space="preserve">        return fam, members</t>
        </is>
      </c>
    </row>
    <row r="760">
      <c r="A760" s="29" t="inlineStr"/>
    </row>
    <row r="761">
      <c r="A761" s="29" t="inlineStr">
        <is>
          <t xml:space="preserve">    def _crit_target(self, cik: str, qi: int, n: int) -&gt; float:</t>
        </is>
      </c>
    </row>
    <row r="762">
      <c r="A762" s="29" t="inlineStr">
        <is>
          <t xml:space="preserve">        """Criticized ratio (pct) at quarter index qi (0=oldest)."""</t>
        </is>
      </c>
    </row>
    <row r="763">
      <c r="A763" s="29" t="inlineStr">
        <is>
          <t xml:space="preserve">        s = self._seed(cik)</t>
        </is>
      </c>
    </row>
    <row r="764">
      <c r="A764" s="29" t="inlineStr">
        <is>
          <t xml:space="preserve">        ramp = 0.75 + 0.25 * (qi / max(1, n - 1))</t>
        </is>
      </c>
    </row>
    <row r="765">
      <c r="A765" s="29" t="inlineStr">
        <is>
          <t xml:space="preserve">        wob = 1.0 + 0.05 * math.sin((qi + s % 7) / 1.9)</t>
        </is>
      </c>
    </row>
    <row r="766">
      <c r="A766" s="29" t="inlineStr">
        <is>
          <t xml:space="preserve">        if cik == DEMO_ALERT_CIK:</t>
        </is>
      </c>
    </row>
    <row r="767">
      <c r="A767" s="29" t="inlineStr">
        <is>
          <t xml:space="preserve">            base = 7.2</t>
        </is>
      </c>
    </row>
    <row r="768">
      <c r="A768" s="29" t="inlineStr">
        <is>
          <t xml:space="preserve">        elif cik == DEMO_WATCH_CIK:</t>
        </is>
      </c>
    </row>
    <row r="769">
      <c r="A769" s="29" t="inlineStr">
        <is>
          <t xml:space="preserve">            base = 4.6</t>
        </is>
      </c>
    </row>
    <row r="770">
      <c r="A770" s="29" t="inlineStr">
        <is>
          <t xml:space="preserve">        else:</t>
        </is>
      </c>
    </row>
    <row r="771">
      <c r="A771" s="29" t="inlineStr">
        <is>
          <t xml:space="preserve">            base = 1.6 + (s % 9) * 0.22          # 1.6 - 3.4, under WATCH</t>
        </is>
      </c>
    </row>
    <row r="772">
      <c r="A772" s="29" t="inlineStr">
        <is>
          <t xml:space="preserve">        return base * ramp * wob</t>
        </is>
      </c>
    </row>
    <row r="773">
      <c r="A773" s="29" t="inlineStr"/>
    </row>
    <row r="774">
      <c r="A774" s="29" t="inlineStr">
        <is>
          <t xml:space="preserve">    def _profile(self, cik: str):</t>
        </is>
      </c>
    </row>
    <row r="775">
      <c r="A775" s="29" t="inlineStr">
        <is>
          <t xml:space="preserve">        if cik in self._facts:</t>
        </is>
      </c>
    </row>
    <row r="776">
      <c r="A776" s="29" t="inlineStr">
        <is>
          <t xml:space="preserve">            return</t>
        </is>
      </c>
    </row>
    <row r="777">
      <c r="A777" s="29" t="inlineStr">
        <is>
          <t xml:space="preserve">        s = self._seed(cik)</t>
        </is>
      </c>
    </row>
    <row r="778">
      <c r="A778" s="29" t="inlineStr">
        <is>
          <t xml:space="preserve">        fam, members = self._grade_members(cik)</t>
        </is>
      </c>
    </row>
    <row r="779">
      <c r="A779" s="29" t="inlineStr">
        <is>
          <t xml:space="preserve">        periods = self._periods()</t>
        </is>
      </c>
    </row>
    <row r="780">
      <c r="A780" s="29" t="inlineStr">
        <is>
          <t xml:space="preserve">        n = len(periods)</t>
        </is>
      </c>
    </row>
    <row r="781">
      <c r="A781" s="29" t="inlineStr">
        <is>
          <t xml:space="preserve">        total0 = 20.0e9 + (s % 60) * 1.0e9       # $20B - $80B commercial book</t>
        </is>
      </c>
    </row>
    <row r="782">
      <c r="A782" s="29" t="inlineStr">
        <is>
          <t xml:space="preserve">        facts: List[Fact] = []</t>
        </is>
      </c>
    </row>
    <row r="783">
      <c r="A783" s="29" t="inlineStr">
        <is>
          <t xml:space="preserve">        for qi, iso in enumerate(periods):       # qi=0 oldest .. n-1 newest</t>
        </is>
      </c>
    </row>
    <row r="784">
      <c r="A784" s="29" t="inlineStr">
        <is>
          <t xml:space="preserve">            q_cal = (int(iso[5:7]) + 2) // 3</t>
        </is>
      </c>
    </row>
    <row r="785">
      <c r="A785" s="29" t="inlineStr">
        <is>
          <t xml:space="preserve">            form = "10-K" if q_cal == 4 else "10-Q"   # Q4 via the 10-K (E6)</t>
        </is>
      </c>
    </row>
    <row r="786">
      <c r="A786" s="29" t="inlineStr">
        <is>
          <t xml:space="preserve">            acc = f"{int(cik):010d}-26-{qi + 1:06d}"</t>
        </is>
      </c>
    </row>
    <row r="787">
      <c r="A787" s="29" t="inlineStr">
        <is>
          <t xml:space="preserve">            acceptance = (f"{iso[:4]}-{int(iso[5:7]):02d}-15"</t>
        </is>
      </c>
    </row>
    <row r="788">
      <c r="A788" s="29" t="inlineStr">
        <is>
          <t xml:space="preserve">                          f"T16:0{qi % 6}:00.000Z")</t>
        </is>
      </c>
    </row>
    <row r="789">
      <c r="A789" s="29" t="inlineStr">
        <is>
          <t xml:space="preserve">            total = total0 * (1.012 ** qi)</t>
        </is>
      </c>
    </row>
    <row r="790">
      <c r="A790" s="29" t="inlineStr">
        <is>
          <t xml:space="preserve">            crit_r = self._crit_target(cik, qi, n) / 100.0</t>
        </is>
      </c>
    </row>
    <row r="791">
      <c r="A791" s="29" t="inlineStr">
        <is>
          <t xml:space="preserve">            for ci_, (cq, share) in enumerate(DEMO_CLASS_MEMBERS):</t>
        </is>
      </c>
    </row>
    <row r="792">
      <c r="A792" s="29" t="inlineStr">
        <is>
          <t xml:space="preserve">                cls_total = total * share</t>
        </is>
      </c>
    </row>
    <row r="793">
      <c r="A793" s="29" t="inlineStr">
        <is>
          <t xml:space="preserve">                # per-class criticized intensity varies by class (CRE hotter)</t>
        </is>
      </c>
    </row>
    <row r="794">
      <c r="A794" s="29" t="inlineStr">
        <is>
          <t xml:space="preserve">                mult = (0.8, 1.4, 1.3, 0.7)[ci_]</t>
        </is>
      </c>
    </row>
    <row r="795">
      <c r="A795" s="29" t="inlineStr">
        <is>
          <t xml:space="preserve">                cls_crit = cls_total * crit_r * mult</t>
        </is>
      </c>
    </row>
    <row r="796">
      <c r="A796" s="29" t="inlineStr">
        <is>
          <t xml:space="preserve">                if fam == "ig_nig":</t>
        </is>
      </c>
    </row>
    <row r="797">
      <c r="A797" s="29" t="inlineStr">
        <is>
          <t xml:space="preserve">                    nig = cls_total * (0.12 + (s % 5) * 0.01)</t>
        </is>
      </c>
    </row>
    <row r="798">
      <c r="A798" s="29" t="inlineStr">
        <is>
          <t xml:space="preserve">                    facts.append(Fact(cik, iso, TAG_EXCL, cq,</t>
        </is>
      </c>
    </row>
    <row r="799">
      <c r="A799" s="29" t="inlineStr">
        <is>
          <t xml:space="preserve">                                      "us-gaap:InternalInvestmentGradeMember",</t>
        </is>
      </c>
    </row>
    <row r="800">
      <c r="A800" s="29" t="inlineStr">
        <is>
          <t xml:space="preserve">                                      round(cls_total - nig, -3), acc,</t>
        </is>
      </c>
    </row>
    <row r="801">
      <c r="A801" s="29" t="inlineStr">
        <is>
          <t xml:space="preserve">                                      acceptance, form))</t>
        </is>
      </c>
    </row>
    <row r="802">
      <c r="A802" s="29" t="inlineStr">
        <is>
          <t xml:space="preserve">                    facts.append(Fact(cik, iso, TAG_EXCL, cq,</t>
        </is>
      </c>
    </row>
    <row r="803">
      <c r="A803" s="29" t="inlineStr">
        <is>
          <t xml:space="preserve">                                      "us-gaap:InternalNoninvestmentGradeMember",</t>
        </is>
      </c>
    </row>
    <row r="804">
      <c r="A804" s="29" t="inlineStr">
        <is>
          <t xml:space="preserve">                                      round(nig, -3), acc, acceptance, form))</t>
        </is>
      </c>
    </row>
    <row r="805">
      <c r="A805" s="29" t="inlineStr">
        <is>
          <t xml:space="preserve">                    continue</t>
        </is>
      </c>
    </row>
    <row r="806">
      <c r="A806" s="29" t="inlineStr">
        <is>
          <t xml:space="preserve">                crit_left = cls_crit</t>
        </is>
      </c>
    </row>
    <row r="807">
      <c r="A807" s="29" t="inlineStr">
        <is>
          <t xml:space="preserve">                for gq, w in members:</t>
        </is>
      </c>
    </row>
    <row r="808">
      <c r="A808" s="29" t="inlineStr">
        <is>
          <t xml:space="preserve">                    if w is None:</t>
        </is>
      </c>
    </row>
    <row r="809">
      <c r="A809" s="29" t="inlineStr">
        <is>
          <t xml:space="preserve">                        continue</t>
        </is>
      </c>
    </row>
    <row r="810">
      <c r="A810" s="29" t="inlineStr">
        <is>
          <t xml:space="preserve">                    v = cls_crit * w</t>
        </is>
      </c>
    </row>
    <row r="811">
      <c r="A811" s="29" t="inlineStr">
        <is>
          <t xml:space="preserve">                    crit_left -= v</t>
        </is>
      </c>
    </row>
    <row r="812">
      <c r="A812" s="29" t="inlineStr">
        <is>
          <t xml:space="preserve">                    facts.append(Fact(cik, iso, TAG_EXCL, cq, gq,</t>
        </is>
      </c>
    </row>
    <row r="813">
      <c r="A813" s="29" t="inlineStr">
        <is>
          <t xml:space="preserve">                                      round(v, -3), acc, acceptance, form))</t>
        </is>
      </c>
    </row>
    <row r="814">
      <c r="A814" s="29" t="inlineStr">
        <is>
          <t xml:space="preserve">                facts.append(Fact(cik, iso, TAG_EXCL, cq,</t>
        </is>
      </c>
    </row>
    <row r="815">
      <c r="A815" s="29" t="inlineStr">
        <is>
          <t xml:space="preserve">                                  "us-gaap:PassMember",</t>
        </is>
      </c>
    </row>
    <row r="816">
      <c r="A816" s="29" t="inlineStr">
        <is>
          <t xml:space="preserve">                                  round(cls_total - cls_crit, -3), acc,</t>
        </is>
      </c>
    </row>
    <row r="817">
      <c r="A817" s="29" t="inlineStr">
        <is>
          <t xml:space="preserve">                                  acceptance, form))</t>
        </is>
      </c>
    </row>
    <row r="818">
      <c r="A818" s="29" t="inlineStr">
        <is>
          <t xml:space="preserve">            # the one unknown extension member (bootstrap path, trap E4):</t>
        </is>
      </c>
    </row>
    <row r="819">
      <c r="A819" s="29" t="inlineStr">
        <is>
          <t xml:space="preserve">            # a small extra criticized bucket on the C&amp;I class, all quarters</t>
        </is>
      </c>
    </row>
    <row r="820">
      <c r="A820" s="29" t="inlineStr">
        <is>
          <t xml:space="preserve">            if cik == DEMO_EXTENSION_CIK:</t>
        </is>
      </c>
    </row>
    <row r="821">
      <c r="A821" s="29" t="inlineStr">
        <is>
          <t xml:space="preserve">                facts.append(Fact(cik, iso, TAG_EXCL,</t>
        </is>
      </c>
    </row>
    <row r="822">
      <c r="A822" s="29" t="inlineStr">
        <is>
          <t xml:space="preserve">                                  DEMO_CLASS_MEMBERS[0][0],</t>
        </is>
      </c>
    </row>
    <row r="823">
      <c r="A823" s="29" t="inlineStr">
        <is>
          <t xml:space="preserve">                                  DEMO_EXTENSION_MEMBER,</t>
        </is>
      </c>
    </row>
    <row r="824">
      <c r="A824" s="29" t="inlineStr">
        <is>
          <t xml:space="preserve">                                  round(total * 0.0011, -3), acc,</t>
        </is>
      </c>
    </row>
    <row r="825">
      <c r="A825" s="29" t="inlineStr">
        <is>
          <t xml:space="preserve">                                  acceptance, form))</t>
        </is>
      </c>
    </row>
    <row r="826">
      <c r="A826" s="29" t="inlineStr">
        <is>
          <t xml:space="preserve">        self._facts[cik] = facts</t>
        </is>
      </c>
    </row>
    <row r="827">
      <c r="A827" s="29" t="inlineStr">
        <is>
          <t xml:space="preserve">        # events: every bank files a 2.02 (informational); Zions adds the</t>
        </is>
      </c>
    </row>
    <row r="828">
      <c r="A828" s="29" t="inlineStr">
        <is>
          <t xml:space="preserve">        # 2.04 acceleration (auto-WATCH lane); the ALERT bank adds a 2.06.</t>
        </is>
      </c>
    </row>
    <row r="829">
      <c r="A829" s="29" t="inlineStr">
        <is>
          <t xml:space="preserve">        latest = periods[-1]</t>
        </is>
      </c>
    </row>
    <row r="830">
      <c r="A830" s="29" t="inlineStr">
        <is>
          <t xml:space="preserve">        yr = latest[:4]</t>
        </is>
      </c>
    </row>
    <row r="831">
      <c r="A831" s="29" t="inlineStr">
        <is>
          <t xml:space="preserve">        events = [Event(cik, f"{yr}-01-21", "2.02", "8-K",</t>
        </is>
      </c>
    </row>
    <row r="832">
      <c r="A832" s="29" t="inlineStr">
        <is>
          <t xml:space="preserve">                        f"{int(cik):010d}-26-000101")]</t>
        </is>
      </c>
    </row>
    <row r="833">
      <c r="A833" s="29" t="inlineStr">
        <is>
          <t xml:space="preserve">        if cik == DEMO_WATCH_CIK:</t>
        </is>
      </c>
    </row>
    <row r="834">
      <c r="A834" s="29" t="inlineStr">
        <is>
          <t xml:space="preserve">            events.append(Event(cik, f"{yr}-02-11", "2.04", "8-K",</t>
        </is>
      </c>
    </row>
    <row r="835">
      <c r="A835" s="29" t="inlineStr">
        <is>
          <t xml:space="preserve">                                f"{int(cik):010d}-26-000102"))</t>
        </is>
      </c>
    </row>
    <row r="836">
      <c r="A836" s="29" t="inlineStr">
        <is>
          <t xml:space="preserve">        if cik == DEMO_ALERT_CIK:</t>
        </is>
      </c>
    </row>
    <row r="837">
      <c r="A837" s="29" t="inlineStr">
        <is>
          <t xml:space="preserve">            events.append(Event(cik, f"{yr}-02-25", "2.06", "8-K",</t>
        </is>
      </c>
    </row>
    <row r="838">
      <c r="A838" s="29" t="inlineStr">
        <is>
          <t xml:space="preserve">                                f"{int(cik):010d}-26-000103"))</t>
        </is>
      </c>
    </row>
    <row r="839">
      <c r="A839" s="29" t="inlineStr">
        <is>
          <t xml:space="preserve">        self._events[cik] = sorted(events, key=lambda e: e.date, reverse=True)</t>
        </is>
      </c>
    </row>
    <row r="840">
      <c r="A840" s="29" t="inlineStr"/>
    </row>
    <row r="841">
      <c r="A841" s="29" t="inlineStr">
        <is>
          <t xml:space="preserve">    def fetch_facts(self, cik: str) -&gt; List[Fact]:</t>
        </is>
      </c>
    </row>
    <row r="842">
      <c r="A842" s="29" t="inlineStr">
        <is>
          <t xml:space="preserve">        self._profile(str(cik))</t>
        </is>
      </c>
    </row>
    <row r="843">
      <c r="A843" s="29" t="inlineStr">
        <is>
          <t xml:space="preserve">        return list(self._facts[str(cik)])</t>
        </is>
      </c>
    </row>
    <row r="844">
      <c r="A844" s="29" t="inlineStr"/>
    </row>
    <row r="845">
      <c r="A845" s="29" t="inlineStr">
        <is>
          <t xml:space="preserve">    def fetch_events(self, cik: str) -&gt; List[Event]:</t>
        </is>
      </c>
    </row>
    <row r="846">
      <c r="A846" s="29" t="inlineStr">
        <is>
          <t xml:space="preserve">        self._profile(str(cik))</t>
        </is>
      </c>
    </row>
    <row r="847">
      <c r="A847" s="29" t="inlineStr">
        <is>
          <t xml:space="preserve">        return list(self._events[str(cik)])</t>
        </is>
      </c>
    </row>
    <row r="848">
      <c r="A848" s="29" t="inlineStr"/>
    </row>
    <row r="849">
      <c r="A849" s="29" t="inlineStr"/>
    </row>
    <row r="850">
      <c r="A850" s="29" t="inlineStr">
        <is>
          <t># ---------------------------------------------------------------------------</t>
        </is>
      </c>
    </row>
    <row r="851">
      <c r="A851" s="29" t="inlineStr">
        <is>
          <t># EdgarProvider -- LIVE, two-stage (BUILD SPEC sec 1).</t>
        </is>
      </c>
    </row>
    <row r="852">
      <c r="A852" s="29" t="inlineStr">
        <is>
          <t>#   Stage 1: data.sec.gov/submissions/CIK{10d}.json -- COLUMNAR arrays;</t>
        </is>
      </c>
    </row>
    <row r="853">
      <c r="A853" s="29" t="inlineStr">
        <is>
          <t>#            latest 10-Q/10-K per calendar quarter (Q4 = the 10-K); /A</t>
        </is>
      </c>
    </row>
    <row r="854">
      <c r="A854" s="29" t="inlineStr">
        <is>
          <t>#            amendments deduped by acceptanceDateTime; the 8-K `items` array</t>
        </is>
      </c>
    </row>
    <row r="855">
      <c r="A855" s="29" t="inlineStr">
        <is>
          <t>#            harvested from the SAME response (zero extra requests).</t>
        </is>
      </c>
    </row>
    <row r="856">
      <c r="A856" s="29" t="inlineStr">
        <is>
          <t>#   Stage 2: filing directory index.json -&gt; the EDGAR-generated EXTRACTED</t>
        </is>
      </c>
    </row>
    <row r="857">
      <c r="A857" s="29" t="inlineStr">
        <is>
          <t>#            instance (*_htm.xml) -&gt; stdlib XML parse: contexts</t>
        </is>
      </c>
    </row>
    <row r="858">
      <c r="A858" s="29" t="inlineStr">
        <is>
          <t>#            (xbrldi:explicitMember) + facts on the two CQI tags dimensioned</t>
        </is>
      </c>
    </row>
    <row r="859">
      <c r="A859" s="29" t="inlineStr">
        <is>
          <t>#            by InternalCreditAssessmentAxis x the class axis. Vintage line</t>
        </is>
      </c>
    </row>
    <row r="860">
      <c r="A860" s="29" t="inlineStr">
        <is>
          <t>#            items are IGNORED by exact-tag matching (trap E3); member qnames</t>
        </is>
      </c>
    </row>
    <row r="861">
      <c r="A861" s="29" t="inlineStr">
        <is>
          <t>#            stay namespace-qualified (trap E4).</t>
        </is>
      </c>
    </row>
    <row r="862">
      <c r="A862" s="29" t="inlineStr">
        <is>
          <t># Keyless, but User-Agent "{org} {email}" REQUIRED (fail fast if blank).</t>
        </is>
      </c>
    </row>
    <row r="863">
      <c r="A863" s="29" t="inlineStr">
        <is>
          <t># Throttle &gt;= 0.15s/request; per-URL cache; retry/backoff on 429/5xx.</t>
        </is>
      </c>
    </row>
    <row r="864">
      <c r="A864" s="29" t="inlineStr">
        <is>
          <t># ---------------------------------------------------------------------------</t>
        </is>
      </c>
    </row>
    <row r="865">
      <c r="A865" s="29" t="inlineStr">
        <is>
          <t>class EdgarProvider(Provider):</t>
        </is>
      </c>
    </row>
    <row r="866">
      <c r="A866" s="29" t="inlineStr">
        <is>
          <t xml:space="preserve">    source_class = "A"</t>
        </is>
      </c>
    </row>
    <row r="867">
      <c r="A867" s="29" t="inlineStr"/>
    </row>
    <row r="868">
      <c r="A868" s="29" t="inlineStr">
        <is>
          <t xml:space="preserve">    def __init__(self, user_agent: str, min_interval: float = 0.2,</t>
        </is>
      </c>
    </row>
    <row r="869">
      <c r="A869" s="29" t="inlineStr">
        <is>
          <t xml:space="preserve">                 max_retries: int = 4, raw_slots: int = RAW_SLOTS_DEFAULT,</t>
        </is>
      </c>
    </row>
    <row r="870">
      <c r="A870" s="29" t="inlineStr">
        <is>
          <t xml:space="preserve">                 asof: Optional[date] = None):</t>
        </is>
      </c>
    </row>
    <row r="871">
      <c r="A871" s="29" t="inlineStr">
        <is>
          <t xml:space="preserve">        ua = str(user_agent or "").strip()</t>
        </is>
      </c>
    </row>
    <row r="872">
      <c r="A872" s="29" t="inlineStr">
        <is>
          <t xml:space="preserve">        if not ua:</t>
        </is>
      </c>
    </row>
    <row r="873">
      <c r="A873" s="29" t="inlineStr">
        <is>
          <t xml:space="preserve">            raise UserAgentMissing(</t>
        </is>
      </c>
    </row>
    <row r="874">
      <c r="A874" s="29" t="inlineStr">
        <is>
          <t xml:space="preserve">                "edgar_user_agent is blank. SEC fair-access policy REQUIRES "</t>
        </is>
      </c>
    </row>
    <row r="875">
      <c r="A875" s="29" t="inlineStr">
        <is>
          <t xml:space="preserve">                "a declared User-Agent of the form \"{org} {email}\" on "</t>
        </is>
      </c>
    </row>
    <row r="876">
      <c r="A876" s="29" t="inlineStr">
        <is>
          <t xml:space="preserve">                "every request (an absent/generic UA earns silent HTTP 403s "</t>
        </is>
      </c>
    </row>
    <row r="877">
      <c r="A877" s="29" t="inlineStr">
        <is>
          <t xml:space="preserve">                "and a ~10-minute IP block). Open the workbook's _config tab "</t>
        </is>
      </c>
    </row>
    <row r="878">
      <c r="A878" s="29" t="inlineStr">
        <is>
          <t xml:space="preserve">                "and set edgar_user_agent, e.g. "</t>
        </is>
      </c>
    </row>
    <row r="879">
      <c r="A879" s="29" t="inlineStr">
        <is>
          <t xml:space="preserve">                "\"ExampleBank CreditRisk jane.doe@example.com\". "</t>
        </is>
      </c>
    </row>
    <row r="880">
      <c r="A880" s="29" t="inlineStr">
        <is>
          <t xml:space="preserve">                "No API key or account is needed.")</t>
        </is>
      </c>
    </row>
    <row r="881">
      <c r="A881" s="29" t="inlineStr">
        <is>
          <t xml:space="preserve">        self.user_agent = ua</t>
        </is>
      </c>
    </row>
    <row r="882">
      <c r="A882" s="29" t="inlineStr">
        <is>
          <t xml:space="preserve">        self._min_interval = max(0.15, float(min_interval))</t>
        </is>
      </c>
    </row>
    <row r="883">
      <c r="A883" s="29" t="inlineStr">
        <is>
          <t xml:space="preserve">        self._max_retries = int(max_retries)</t>
        </is>
      </c>
    </row>
    <row r="884">
      <c r="A884" s="29" t="inlineStr">
        <is>
          <t xml:space="preserve">        self._raw_slots = int(raw_slots)</t>
        </is>
      </c>
    </row>
    <row r="885">
      <c r="A885" s="29" t="inlineStr">
        <is>
          <t xml:space="preserve">        self.asof = asof or date.today()</t>
        </is>
      </c>
    </row>
    <row r="886">
      <c r="A886" s="29" t="inlineStr">
        <is>
          <t xml:space="preserve">        self._last = 0.0</t>
        </is>
      </c>
    </row>
    <row r="887">
      <c r="A887" s="29" t="inlineStr">
        <is>
          <t xml:space="preserve">        self._cache: Dict[str, bytes] = {}</t>
        </is>
      </c>
    </row>
    <row r="888">
      <c r="A888" s="29" t="inlineStr">
        <is>
          <t xml:space="preserve">        self._facts: Dict[str, List[Fact]] = {}</t>
        </is>
      </c>
    </row>
    <row r="889">
      <c r="A889" s="29" t="inlineStr">
        <is>
          <t xml:space="preserve">        self._events: Dict[str, List[Event]] = {}</t>
        </is>
      </c>
    </row>
    <row r="890">
      <c r="A890" s="29" t="inlineStr">
        <is>
          <t xml:space="preserve">        self.names: Dict[str, str] = {}</t>
        </is>
      </c>
    </row>
    <row r="891">
      <c r="A891" s="29" t="inlineStr">
        <is>
          <t xml:space="preserve">        self.errors: List[str] = []</t>
        </is>
      </c>
    </row>
    <row r="892">
      <c r="A892" s="29" t="inlineStr"/>
    </row>
    <row r="893">
      <c r="A893" s="29" t="inlineStr">
        <is>
          <t xml:space="preserve">    # -- transport ----------------------------------------------------------</t>
        </is>
      </c>
    </row>
    <row r="894">
      <c r="A894" s="29" t="inlineStr">
        <is>
          <t xml:space="preserve">    def _throttle(self):</t>
        </is>
      </c>
    </row>
    <row r="895">
      <c r="A895" s="29" t="inlineStr">
        <is>
          <t xml:space="preserve">        gap = time.time() - self._last</t>
        </is>
      </c>
    </row>
    <row r="896">
      <c r="A896" s="29" t="inlineStr">
        <is>
          <t xml:space="preserve">        if gap &lt; self._min_interval:</t>
        </is>
      </c>
    </row>
    <row r="897">
      <c r="A897" s="29" t="inlineStr">
        <is>
          <t xml:space="preserve">            time.sleep(self._min_interval - gap)</t>
        </is>
      </c>
    </row>
    <row r="898">
      <c r="A898" s="29" t="inlineStr">
        <is>
          <t xml:space="preserve">        self._last = time.time()</t>
        </is>
      </c>
    </row>
    <row r="899">
      <c r="A899" s="29" t="inlineStr"/>
    </row>
    <row r="900">
      <c r="A900" s="29" t="inlineStr">
        <is>
          <t xml:space="preserve">    def _http_get(self, url: str) -&gt; bytes:</t>
        </is>
      </c>
    </row>
    <row r="901">
      <c r="A901" s="29" t="inlineStr">
        <is>
          <t xml:space="preserve">        """The one real network call -- isolated so tests can stub it."""</t>
        </is>
      </c>
    </row>
    <row r="902">
      <c r="A902" s="29" t="inlineStr">
        <is>
          <t xml:space="preserve">        import urllib.request</t>
        </is>
      </c>
    </row>
    <row r="903">
      <c r="A903" s="29" t="inlineStr">
        <is>
          <t xml:space="preserve">        req = urllib.request.Request(url, headers={</t>
        </is>
      </c>
    </row>
    <row r="904">
      <c r="A904" s="29" t="inlineStr">
        <is>
          <t xml:space="preserve">            "User-Agent": self.user_agent,</t>
        </is>
      </c>
    </row>
    <row r="905">
      <c r="A905" s="29" t="inlineStr">
        <is>
          <t xml:space="preserve">            "Accept-Encoding": "identity"})</t>
        </is>
      </c>
    </row>
    <row r="906">
      <c r="A906" s="29" t="inlineStr">
        <is>
          <t xml:space="preserve">        with urllib.request.urlopen(req, timeout=60) as resp:</t>
        </is>
      </c>
    </row>
    <row r="907">
      <c r="A907" s="29" t="inlineStr">
        <is>
          <t xml:space="preserve">            return resp.read()</t>
        </is>
      </c>
    </row>
    <row r="908">
      <c r="A908" s="29" t="inlineStr"/>
    </row>
    <row r="909">
      <c r="A909" s="29" t="inlineStr">
        <is>
          <t xml:space="preserve">    def _download(self, url: str, label: str) -&gt; bytes:</t>
        </is>
      </c>
    </row>
    <row r="910">
      <c r="A910" s="29" t="inlineStr">
        <is>
          <t xml:space="preserve">        if url in self._cache:</t>
        </is>
      </c>
    </row>
    <row r="911">
      <c r="A911" s="29" t="inlineStr">
        <is>
          <t xml:space="preserve">            return self._cache[url]</t>
        </is>
      </c>
    </row>
    <row r="912">
      <c r="A912" s="29" t="inlineStr">
        <is>
          <t xml:space="preserve">        import urllib.error</t>
        </is>
      </c>
    </row>
    <row r="913">
      <c r="A913" s="29" t="inlineStr">
        <is>
          <t xml:space="preserve">        for attempt in range(self._max_retries + 1):</t>
        </is>
      </c>
    </row>
    <row r="914">
      <c r="A914" s="29" t="inlineStr">
        <is>
          <t xml:space="preserve">            self._throttle()</t>
        </is>
      </c>
    </row>
    <row r="915">
      <c r="A915" s="29" t="inlineStr">
        <is>
          <t xml:space="preserve">            try:</t>
        </is>
      </c>
    </row>
    <row r="916">
      <c r="A916" s="29" t="inlineStr">
        <is>
          <t xml:space="preserve">                data = self._http_get(url)</t>
        </is>
      </c>
    </row>
    <row r="917">
      <c r="A917" s="29" t="inlineStr">
        <is>
          <t xml:space="preserve">                self._cache[url] = data</t>
        </is>
      </c>
    </row>
    <row r="918">
      <c r="A918" s="29" t="inlineStr">
        <is>
          <t xml:space="preserve">                return data</t>
        </is>
      </c>
    </row>
    <row r="919">
      <c r="A919" s="29" t="inlineStr">
        <is>
          <t xml:space="preserve">            except urllib.error.HTTPError as exc:</t>
        </is>
      </c>
    </row>
    <row r="920">
      <c r="A920" s="29" t="inlineStr">
        <is>
          <t xml:space="preserve">                if exc.code == 403:</t>
        </is>
      </c>
    </row>
    <row r="921">
      <c r="A921" s="29" t="inlineStr">
        <is>
          <t xml:space="preserve">                    raise RuntimeError(</t>
        </is>
      </c>
    </row>
    <row r="922">
      <c r="A922" s="29" t="inlineStr">
        <is>
          <t xml:space="preserve">                        f"EDGAR fetch failed for {label}: HTTP 403. SEC "</t>
        </is>
      </c>
    </row>
    <row r="923">
      <c r="A923" s="29" t="inlineStr">
        <is>
          <t xml:space="preserve">                        "serves silent 403s for missing/generic User-Agent "</t>
        </is>
      </c>
    </row>
    <row r="924">
      <c r="A924" s="29" t="inlineStr">
        <is>
          <t xml:space="preserve">                        "headers -- check edgar_user_agent in _config "</t>
        </is>
      </c>
    </row>
    <row r="925">
      <c r="A925" s="29" t="inlineStr">
        <is>
          <t xml:space="preserve">                        "(\"{org} {email}\") and run --selftest. Corporate "</t>
        </is>
      </c>
    </row>
    <row r="926">
      <c r="A926" s="29" t="inlineStr">
        <is>
          <t xml:space="preserve">                        "proxies also block sec.gov (allowlist "</t>
        </is>
      </c>
    </row>
    <row r="927">
      <c r="A927" s="29" t="inlineStr">
        <is>
          <t xml:space="preserve">                        + ", ".join(SEC_HOSTS) + ").")</t>
        </is>
      </c>
    </row>
    <row r="928">
      <c r="A928" s="29" t="inlineStr">
        <is>
          <t xml:space="preserve">                if exc.code == 429 or exc.code &gt;= 500:</t>
        </is>
      </c>
    </row>
    <row r="929">
      <c r="A929" s="29" t="inlineStr">
        <is>
          <t xml:space="preserve">                    if attempt &lt; self._max_retries:</t>
        </is>
      </c>
    </row>
    <row r="930">
      <c r="A930" s="29" t="inlineStr">
        <is>
          <t xml:space="preserve">                        time.sleep(2.0 * (attempt + 1))</t>
        </is>
      </c>
    </row>
    <row r="931">
      <c r="A931" s="29" t="inlineStr">
        <is>
          <t xml:space="preserve">                        continue</t>
        </is>
      </c>
    </row>
    <row r="932">
      <c r="A932" s="29" t="inlineStr">
        <is>
          <t xml:space="preserve">                raise RuntimeError(f"EDGAR fetch failed for {label}: "</t>
        </is>
      </c>
    </row>
    <row r="933">
      <c r="A933" s="29" t="inlineStr">
        <is>
          <t xml:space="preserve">                                   f"HTTP {exc.code}")</t>
        </is>
      </c>
    </row>
    <row r="934">
      <c r="A934" s="29" t="inlineStr">
        <is>
          <t xml:space="preserve">            except Exception as exc:</t>
        </is>
      </c>
    </row>
    <row r="935">
      <c r="A935" s="29" t="inlineStr">
        <is>
          <t xml:space="preserve">                if attempt &lt; self._max_retries:</t>
        </is>
      </c>
    </row>
    <row r="936">
      <c r="A936" s="29" t="inlineStr">
        <is>
          <t xml:space="preserve">                    time.sleep(2.0 * (attempt + 1))</t>
        </is>
      </c>
    </row>
    <row r="937">
      <c r="A937" s="29" t="inlineStr">
        <is>
          <t xml:space="preserve">                    continue</t>
        </is>
      </c>
    </row>
    <row r="938">
      <c r="A938" s="29" t="inlineStr">
        <is>
          <t xml:space="preserve">                raise RuntimeError(f"EDGAR fetch failed for {label}: "</t>
        </is>
      </c>
    </row>
    <row r="939">
      <c r="A939" s="29" t="inlineStr">
        <is>
          <t xml:space="preserve">                                   f"{type(exc).__name__}: {exc}")</t>
        </is>
      </c>
    </row>
    <row r="940">
      <c r="A940" s="29" t="inlineStr"/>
    </row>
    <row r="941">
      <c r="A941" s="29" t="inlineStr">
        <is>
          <t xml:space="preserve">    # -- stage 1: submissions -------------------------------------------------</t>
        </is>
      </c>
    </row>
    <row r="942">
      <c r="A942" s="29" t="inlineStr">
        <is>
          <t xml:space="preserve">    @staticmethod</t>
        </is>
      </c>
    </row>
    <row r="943">
      <c r="A943" s="29" t="inlineStr">
        <is>
          <t xml:space="preserve">    def parse_submissions(payload: dict) -&gt; List[dict]:</t>
        </is>
      </c>
    </row>
    <row r="944">
      <c r="A944" s="29" t="inlineStr">
        <is>
          <t xml:space="preserve">        """COLUMNAR parallel arrays -&gt; row dicts (trap: the arrays are</t>
        </is>
      </c>
    </row>
    <row r="945">
      <c r="A945" s="29" t="inlineStr">
        <is>
          <t xml:space="preserve">        columns, not records). Accepts either the top-level payload (uses</t>
        </is>
      </c>
    </row>
    <row r="946">
      <c r="A946" s="29" t="inlineStr">
        <is>
          <t xml:space="preserve">        filings.recent) or an older filings.files page (arrays at top level)."""</t>
        </is>
      </c>
    </row>
    <row r="947">
      <c r="A947" s="29" t="inlineStr">
        <is>
          <t xml:space="preserve">        block = payload.get("filings", {}).get("recent", payload)</t>
        </is>
      </c>
    </row>
    <row r="948">
      <c r="A948" s="29" t="inlineStr">
        <is>
          <t xml:space="preserve">        forms = block.get("form", [])</t>
        </is>
      </c>
    </row>
    <row r="949">
      <c r="A949" s="29" t="inlineStr">
        <is>
          <t xml:space="preserve">        keys = ("accessionNumber", "filingDate", "reportDate",</t>
        </is>
      </c>
    </row>
    <row r="950">
      <c r="A950" s="29" t="inlineStr">
        <is>
          <t xml:space="preserve">                "acceptanceDateTime", "primaryDocument", "items")</t>
        </is>
      </c>
    </row>
    <row r="951">
      <c r="A951" s="29" t="inlineStr">
        <is>
          <t xml:space="preserve">        cols = {k: block.get(k, []) for k in keys}</t>
        </is>
      </c>
    </row>
    <row r="952">
      <c r="A952" s="29" t="inlineStr">
        <is>
          <t xml:space="preserve">        rows = []</t>
        </is>
      </c>
    </row>
    <row r="953">
      <c r="A953" s="29" t="inlineStr">
        <is>
          <t xml:space="preserve">        for i, form in enumerate(forms):</t>
        </is>
      </c>
    </row>
    <row r="954">
      <c r="A954" s="29" t="inlineStr">
        <is>
          <t xml:space="preserve">            row = {"form": form}</t>
        </is>
      </c>
    </row>
    <row r="955">
      <c r="A955" s="29" t="inlineStr">
        <is>
          <t xml:space="preserve">            for k in keys:</t>
        </is>
      </c>
    </row>
    <row r="956">
      <c r="A956" s="29" t="inlineStr">
        <is>
          <t xml:space="preserve">                v = cols[k][i] if i &lt; len(cols[k]) else ""</t>
        </is>
      </c>
    </row>
    <row r="957">
      <c r="A957" s="29" t="inlineStr">
        <is>
          <t xml:space="preserve">                row[k] = "" if v is None else str(v)</t>
        </is>
      </c>
    </row>
    <row r="958">
      <c r="A958" s="29" t="inlineStr">
        <is>
          <t xml:space="preserve">            rows.append(row)</t>
        </is>
      </c>
    </row>
    <row r="959">
      <c r="A959" s="29" t="inlineStr">
        <is>
          <t xml:space="preserve">        return rows</t>
        </is>
      </c>
    </row>
    <row r="960">
      <c r="A960" s="29" t="inlineStr"/>
    </row>
    <row r="961">
      <c r="A961" s="29" t="inlineStr">
        <is>
          <t xml:space="preserve">    @staticmethod</t>
        </is>
      </c>
    </row>
    <row r="962">
      <c r="A962" s="29" t="inlineStr">
        <is>
          <t xml:space="preserve">    def select_quarterly(rows: List[dict], raw_slots: int,</t>
        </is>
      </c>
    </row>
    <row r="963">
      <c r="A963" s="29" t="inlineStr">
        <is>
          <t xml:space="preserve">                         asof: date) -&gt; List[dict]:</t>
        </is>
      </c>
    </row>
    <row r="964">
      <c r="A964" s="29" t="inlineStr">
        <is>
          <t xml:space="preserve">        """Latest 10-Q/10-K per calendar quarter (Q4 = the 10-K -- trap E6);</t>
        </is>
      </c>
    </row>
    <row r="965">
      <c r="A965" s="29" t="inlineStr">
        <is>
          <t xml:space="preserve">        /A amendments dedupe by (period) keeping the LATEST</t>
        </is>
      </c>
    </row>
    <row r="966">
      <c r="A966" s="29" t="inlineStr">
        <is>
          <t xml:space="preserve">        acceptanceDateTime (trap E7). Newest-first, raw_slots deep."""</t>
        </is>
      </c>
    </row>
    <row r="967">
      <c r="A967" s="29" t="inlineStr">
        <is>
          <t xml:space="preserve">        per: Dict[str, dict] = {}</t>
        </is>
      </c>
    </row>
    <row r="968">
      <c r="A968" s="29" t="inlineStr">
        <is>
          <t xml:space="preserve">        for r in rows:</t>
        </is>
      </c>
    </row>
    <row r="969">
      <c r="A969" s="29" t="inlineStr">
        <is>
          <t xml:space="preserve">            if r.get("form") not in ("10-Q", "10-Q/A", "10-K", "10-K/A"):</t>
        </is>
      </c>
    </row>
    <row r="970">
      <c r="A970" s="29" t="inlineStr">
        <is>
          <t xml:space="preserve">                continue</t>
        </is>
      </c>
    </row>
    <row r="971">
      <c r="A971" s="29" t="inlineStr">
        <is>
          <t xml:space="preserve">            period = str(r.get("reportDate") or "")[:10]</t>
        </is>
      </c>
    </row>
    <row r="972">
      <c r="A972" s="29" t="inlineStr">
        <is>
          <t xml:space="preserve">            if not period or period &gt; asof.isoformat():</t>
        </is>
      </c>
    </row>
    <row r="973">
      <c r="A973" s="29" t="inlineStr">
        <is>
          <t xml:space="preserve">                continue</t>
        </is>
      </c>
    </row>
    <row r="974">
      <c r="A974" s="29" t="inlineStr">
        <is>
          <t xml:space="preserve">            prev = per.get(period)</t>
        </is>
      </c>
    </row>
    <row r="975">
      <c r="A975" s="29" t="inlineStr">
        <is>
          <t xml:space="preserve">            if prev is None or (str(r.get("acceptanceDateTime") or "")</t>
        </is>
      </c>
    </row>
    <row r="976">
      <c r="A976" s="29" t="inlineStr">
        <is>
          <t xml:space="preserve">                                &gt; str(prev.get("acceptanceDateTime") or "")):</t>
        </is>
      </c>
    </row>
    <row r="977">
      <c r="A977" s="29" t="inlineStr">
        <is>
          <t xml:space="preserve">                per[period] = r</t>
        </is>
      </c>
    </row>
    <row r="978">
      <c r="A978" s="29" t="inlineStr">
        <is>
          <t xml:space="preserve">        chosen = [dict(per[p], reportDate=p)</t>
        </is>
      </c>
    </row>
    <row r="979">
      <c r="A979" s="29" t="inlineStr">
        <is>
          <t xml:space="preserve">                  for p in sorted(per, reverse=True)[:raw_slots]]</t>
        </is>
      </c>
    </row>
    <row r="980">
      <c r="A980" s="29" t="inlineStr">
        <is>
          <t xml:space="preserve">        return chosen</t>
        </is>
      </c>
    </row>
    <row r="981">
      <c r="A981" s="29" t="inlineStr"/>
    </row>
    <row r="982">
      <c r="A982" s="29" t="inlineStr">
        <is>
          <t xml:space="preserve">    @staticmethod</t>
        </is>
      </c>
    </row>
    <row r="983">
      <c r="A983" s="29" t="inlineStr">
        <is>
          <t xml:space="preserve">    def harvest_events(rows: List[dict], cik: str, asof: date) -&gt; List[Event]:</t>
        </is>
      </c>
    </row>
    <row r="984">
      <c r="A984" s="29" t="inlineStr">
        <is>
          <t xml:space="preserve">        """The 8-K credit-event lane, from the SAME submissions response</t>
        </is>
      </c>
    </row>
    <row r="985">
      <c r="A985" s="29" t="inlineStr">
        <is>
          <t xml:space="preserve">        (zero extra requests): `items` filtered to {1.03, 2.04, 2.06, 4.02}</t>
        </is>
      </c>
    </row>
    <row r="986">
      <c r="A986" s="29" t="inlineStr">
        <is>
          <t xml:space="preserve">        (+2.02 informational), trailing ~4 quarters."""</t>
        </is>
      </c>
    </row>
    <row r="987">
      <c r="A987" s="29" t="inlineStr">
        <is>
          <t xml:space="preserve">        floor = (asof - timedelta(days=EVENT_WINDOW_DAYS)).isoformat()</t>
        </is>
      </c>
    </row>
    <row r="988">
      <c r="A988" s="29" t="inlineStr">
        <is>
          <t xml:space="preserve">        events = []</t>
        </is>
      </c>
    </row>
    <row r="989">
      <c r="A989" s="29" t="inlineStr">
        <is>
          <t xml:space="preserve">        for r in rows:</t>
        </is>
      </c>
    </row>
    <row r="990">
      <c r="A990" s="29" t="inlineStr">
        <is>
          <t xml:space="preserve">            if r.get("form") not in ("8-K", "8-K/A"):</t>
        </is>
      </c>
    </row>
    <row r="991">
      <c r="A991" s="29" t="inlineStr">
        <is>
          <t xml:space="preserve">                continue</t>
        </is>
      </c>
    </row>
    <row r="992">
      <c r="A992" s="29" t="inlineStr">
        <is>
          <t xml:space="preserve">            d = str(r.get("filingDate") or "")[:10]</t>
        </is>
      </c>
    </row>
    <row r="993">
      <c r="A993" s="29" t="inlineStr">
        <is>
          <t xml:space="preserve">            if not d or d &lt; floor or d &gt; asof.isoformat():</t>
        </is>
      </c>
    </row>
    <row r="994">
      <c r="A994" s="29" t="inlineStr">
        <is>
          <t xml:space="preserve">                continue</t>
        </is>
      </c>
    </row>
    <row r="995">
      <c r="A995" s="29" t="inlineStr">
        <is>
          <t xml:space="preserve">            items = [i.strip() for i in str(r.get("items") or "").split(",")]</t>
        </is>
      </c>
    </row>
    <row r="996">
      <c r="A996" s="29" t="inlineStr">
        <is>
          <t xml:space="preserve">            for it in items:</t>
        </is>
      </c>
    </row>
    <row r="997">
      <c r="A997" s="29" t="inlineStr">
        <is>
          <t xml:space="preserve">                if it in HARVEST_ITEMS:</t>
        </is>
      </c>
    </row>
    <row r="998">
      <c r="A998" s="29" t="inlineStr">
        <is>
          <t xml:space="preserve">                    events.append(Event(str(cik), d, it, r["form"],</t>
        </is>
      </c>
    </row>
    <row r="999">
      <c r="A999" s="29" t="inlineStr">
        <is>
          <t xml:space="preserve">                                        r.get("accessionNumber", "")))</t>
        </is>
      </c>
    </row>
    <row r="1000">
      <c r="A1000" s="29" t="inlineStr">
        <is>
          <t xml:space="preserve">        return sorted(events, key=lambda e: (e.date, e.item), reverse=True)</t>
        </is>
      </c>
    </row>
    <row r="1001">
      <c r="A1001" s="29" t="inlineStr"/>
    </row>
    <row r="1002">
      <c r="A1002" s="29" t="inlineStr">
        <is>
          <t xml:space="preserve">    # -- stage 2: extracted-instance XML -------------------------------------</t>
        </is>
      </c>
    </row>
    <row r="1003">
      <c r="A1003" s="29" t="inlineStr">
        <is>
          <t xml:space="preserve">    @staticmethod</t>
        </is>
      </c>
    </row>
    <row r="1004">
      <c r="A1004" s="29" t="inlineStr">
        <is>
          <t xml:space="preserve">    def parse_instance(data: bytes, cik: str, period: str, accession: str,</t>
        </is>
      </c>
    </row>
    <row r="1005">
      <c r="A1005" s="29" t="inlineStr">
        <is>
          <t xml:space="preserve">                       acceptance: str, form: str) -&gt; List[Fact]:</t>
        </is>
      </c>
    </row>
    <row r="1006">
      <c r="A1006" s="29" t="inlineStr">
        <is>
          <t xml:space="preserve">        """Parse an EDGAR-generated extracted XBRL instance (*_htm.xml) with</t>
        </is>
      </c>
    </row>
    <row r="1007">
      <c r="A1007" s="29" t="inlineStr">
        <is>
          <t xml:space="preserve">        stdlib XML. Keeps facts on the two CQI tags whose context (a) has an</t>
        </is>
      </c>
    </row>
    <row r="1008">
      <c r="A1008" s="29" t="inlineStr">
        <is>
          <t xml:space="preserve">        xbrldi:explicitMember on InternalCreditAssessmentAxis, (b) optionally</t>
        </is>
      </c>
    </row>
    <row r="1009">
      <c r="A1009" s="29" t="inlineStr">
        <is>
          <t xml:space="preserve">        one on the class axis, (c) NO other axes (geography etc. would</t>
        </is>
      </c>
    </row>
    <row r="1010">
      <c r="A1010" s="29" t="inlineStr">
        <is>
          <t xml:space="preserve">        double-count), and (d) an instant equal to the filing's reportDate</t>
        </is>
      </c>
    </row>
    <row r="1011">
      <c r="A1011" s="29" t="inlineStr">
        <is>
          <t xml:space="preserve">        (current period only -- comparative columns dropped). Vintage</t>
        </is>
      </c>
    </row>
    <row r="1012">
      <c r="A1012" s="29" t="inlineStr">
        <is>
          <t xml:space="preserve">        disclosures are LINE ITEMS, not an axis (research-verified): exact</t>
        </is>
      </c>
    </row>
    <row r="1013">
      <c r="A1013" s="29" t="inlineStr">
        <is>
          <t xml:space="preserve">        tag matching ignores them entirely (trap E3). Member qnames are kept</t>
        </is>
      </c>
    </row>
    <row r="1014">
      <c r="A1014" s="29" t="inlineStr">
        <is>
          <t xml:space="preserve">        namespace-qualified with a canonical us-gaap prefix; extension</t>
        </is>
      </c>
    </row>
    <row r="1015">
      <c r="A1015" s="29" t="inlineStr">
        <is>
          <t xml:space="preserve">        prefixes survive as-published (trap E4)."""</t>
        </is>
      </c>
    </row>
    <row r="1016">
      <c r="A1016" s="29" t="inlineStr">
        <is>
          <t xml:space="preserve">        import xml.etree.ElementTree as ET</t>
        </is>
      </c>
    </row>
    <row r="1017">
      <c r="A1017" s="29" t="inlineStr">
        <is>
          <t xml:space="preserve">        from io import BytesIO</t>
        </is>
      </c>
    </row>
    <row r="1018">
      <c r="A1018" s="29" t="inlineStr"/>
    </row>
    <row r="1019">
      <c r="A1019" s="29" t="inlineStr">
        <is>
          <t xml:space="preserve">        ns: Dict[str, str] = {}</t>
        </is>
      </c>
    </row>
    <row r="1020">
      <c r="A1020" s="29" t="inlineStr">
        <is>
          <t xml:space="preserve">        for _ev, (prefix, uri) in ET.iterparse(BytesIO(data),</t>
        </is>
      </c>
    </row>
    <row r="1021">
      <c r="A1021" s="29" t="inlineStr">
        <is>
          <t xml:space="preserve">                                               events=("start-ns",)):</t>
        </is>
      </c>
    </row>
    <row r="1022">
      <c r="A1022" s="29" t="inlineStr">
        <is>
          <t xml:space="preserve">            ns.setdefault(prefix, uri)</t>
        </is>
      </c>
    </row>
    <row r="1023">
      <c r="A1023" s="29" t="inlineStr">
        <is>
          <t xml:space="preserve">        root = ET.fromstring(data)</t>
        </is>
      </c>
    </row>
    <row r="1024">
      <c r="A1024" s="29" t="inlineStr"/>
    </row>
    <row r="1025">
      <c r="A1025" s="29" t="inlineStr">
        <is>
          <t xml:space="preserve">        def canon(qname_text: str) -&gt; Tuple[str, str]:</t>
        </is>
      </c>
    </row>
    <row r="1026">
      <c r="A1026" s="29" t="inlineStr">
        <is>
          <t xml:space="preserve">            """document QName text -&gt; (canonical_prefix, localname)."""</t>
        </is>
      </c>
    </row>
    <row r="1027">
      <c r="A1027" s="29" t="inlineStr">
        <is>
          <t xml:space="preserve">            t = (qname_text or "").strip()</t>
        </is>
      </c>
    </row>
    <row r="1028">
      <c r="A1028" s="29" t="inlineStr">
        <is>
          <t xml:space="preserve">            if ":" in t:</t>
        </is>
      </c>
    </row>
    <row r="1029">
      <c r="A1029" s="29" t="inlineStr">
        <is>
          <t xml:space="preserve">                pfx, local = t.split(":", 1)</t>
        </is>
      </c>
    </row>
    <row r="1030">
      <c r="A1030" s="29" t="inlineStr">
        <is>
          <t xml:space="preserve">            else:</t>
        </is>
      </c>
    </row>
    <row r="1031">
      <c r="A1031" s="29" t="inlineStr">
        <is>
          <t xml:space="preserve">                pfx, local = "", t</t>
        </is>
      </c>
    </row>
    <row r="1032">
      <c r="A1032" s="29" t="inlineStr">
        <is>
          <t xml:space="preserve">            uri = ns.get(pfx, "")</t>
        </is>
      </c>
    </row>
    <row r="1033">
      <c r="A1033" s="29" t="inlineStr">
        <is>
          <t xml:space="preserve">            if US_GAAP_URI_HINT in uri:</t>
        </is>
      </c>
    </row>
    <row r="1034">
      <c r="A1034" s="29" t="inlineStr">
        <is>
          <t xml:space="preserve">                return "us-gaap", local</t>
        </is>
      </c>
    </row>
    <row r="1035">
      <c r="A1035" s="29" t="inlineStr">
        <is>
          <t xml:space="preserve">            return (pfx or "ext"), local</t>
        </is>
      </c>
    </row>
    <row r="1036">
      <c r="A1036" s="29" t="inlineStr"/>
    </row>
    <row r="1037">
      <c r="A1037" s="29" t="inlineStr">
        <is>
          <t xml:space="preserve">        def local(tag: str) -&gt; str:</t>
        </is>
      </c>
    </row>
    <row r="1038">
      <c r="A1038" s="29" t="inlineStr">
        <is>
          <t xml:space="preserve">            return tag.rsplit("}", 1)[-1]</t>
        </is>
      </c>
    </row>
    <row r="1039">
      <c r="A1039" s="29" t="inlineStr"/>
    </row>
    <row r="1040">
      <c r="A1040" s="29" t="inlineStr">
        <is>
          <t xml:space="preserve">        def tag_uri(tag: str) -&gt; str:</t>
        </is>
      </c>
    </row>
    <row r="1041">
      <c r="A1041" s="29" t="inlineStr">
        <is>
          <t xml:space="preserve">            return tag[1:].split("}", 1)[0] if tag.startswith("{") else ""</t>
        </is>
      </c>
    </row>
    <row r="1042">
      <c r="A1042" s="29" t="inlineStr"/>
    </row>
    <row r="1043">
      <c r="A1043" s="29" t="inlineStr">
        <is>
          <t xml:space="preserve">        # contexts: id -&gt; (instant, {axis_local: member_qname}) or None when</t>
        </is>
      </c>
    </row>
    <row r="1044">
      <c r="A1044" s="29" t="inlineStr">
        <is>
          <t xml:space="preserve">        # the context carries axes we do not accept.</t>
        </is>
      </c>
    </row>
    <row r="1045">
      <c r="A1045" s="29" t="inlineStr">
        <is>
          <t xml:space="preserve">        contexts: Dict[str, Optional[Tuple[str, Dict[str, str]]]] = {}</t>
        </is>
      </c>
    </row>
    <row r="1046">
      <c r="A1046" s="29" t="inlineStr">
        <is>
          <t xml:space="preserve">        for el in root:</t>
        </is>
      </c>
    </row>
    <row r="1047">
      <c r="A1047" s="29" t="inlineStr">
        <is>
          <t xml:space="preserve">            if local(el.tag) != "context":</t>
        </is>
      </c>
    </row>
    <row r="1048">
      <c r="A1048" s="29" t="inlineStr">
        <is>
          <t xml:space="preserve">                continue</t>
        </is>
      </c>
    </row>
    <row r="1049">
      <c r="A1049" s="29" t="inlineStr">
        <is>
          <t xml:space="preserve">            cid = el.get("id", "")</t>
        </is>
      </c>
    </row>
    <row r="1050">
      <c r="A1050" s="29" t="inlineStr">
        <is>
          <t xml:space="preserve">            instant = ""</t>
        </is>
      </c>
    </row>
    <row r="1051">
      <c r="A1051" s="29" t="inlineStr">
        <is>
          <t xml:space="preserve">            dims: Dict[str, str] = {}</t>
        </is>
      </c>
    </row>
    <row r="1052">
      <c r="A1052" s="29" t="inlineStr">
        <is>
          <t xml:space="preserve">            ok = True</t>
        </is>
      </c>
    </row>
    <row r="1053">
      <c r="A1053" s="29" t="inlineStr">
        <is>
          <t xml:space="preserve">            for sub in el.iter():</t>
        </is>
      </c>
    </row>
    <row r="1054">
      <c r="A1054" s="29" t="inlineStr">
        <is>
          <t xml:space="preserve">                l = local(sub.tag)</t>
        </is>
      </c>
    </row>
    <row r="1055">
      <c r="A1055" s="29" t="inlineStr">
        <is>
          <t xml:space="preserve">                if l == "instant":</t>
        </is>
      </c>
    </row>
    <row r="1056">
      <c r="A1056" s="29" t="inlineStr">
        <is>
          <t xml:space="preserve">                    instant = (sub.text or "").strip()</t>
        </is>
      </c>
    </row>
    <row r="1057">
      <c r="A1057" s="29" t="inlineStr">
        <is>
          <t xml:space="preserve">                elif l == "explicitMember":</t>
        </is>
      </c>
    </row>
    <row r="1058">
      <c r="A1058" s="29" t="inlineStr">
        <is>
          <t xml:space="preserve">                    ax_pfx, ax_local = canon(sub.get("dimension", ""))</t>
        </is>
      </c>
    </row>
    <row r="1059">
      <c r="A1059" s="29" t="inlineStr">
        <is>
          <t xml:space="preserve">                    m_pfx, m_local = canon((sub.text or ""))</t>
        </is>
      </c>
    </row>
    <row r="1060">
      <c r="A1060" s="29" t="inlineStr">
        <is>
          <t xml:space="preserve">                    member = f"{m_pfx}:{m_local}"</t>
        </is>
      </c>
    </row>
    <row r="1061">
      <c r="A1061" s="29" t="inlineStr">
        <is>
          <t xml:space="preserve">                    if ax_local == CQI_AXIS:</t>
        </is>
      </c>
    </row>
    <row r="1062">
      <c r="A1062" s="29" t="inlineStr">
        <is>
          <t xml:space="preserve">                        dims[CQI_AXIS] = member</t>
        </is>
      </c>
    </row>
    <row r="1063">
      <c r="A1063" s="29" t="inlineStr">
        <is>
          <t xml:space="preserve">                    elif ax_local in CLASS_AXES:</t>
        </is>
      </c>
    </row>
    <row r="1064">
      <c r="A1064" s="29" t="inlineStr">
        <is>
          <t xml:space="preserve">                        dims["CLASS"] = member</t>
        </is>
      </c>
    </row>
    <row r="1065">
      <c r="A1065" s="29" t="inlineStr">
        <is>
          <t xml:space="preserve">                    else:</t>
        </is>
      </c>
    </row>
    <row r="1066">
      <c r="A1066" s="29" t="inlineStr">
        <is>
          <t xml:space="preserve">                        ok = False        # unexpected extra axis -&gt; drop</t>
        </is>
      </c>
    </row>
    <row r="1067">
      <c r="A1067" s="29" t="inlineStr">
        <is>
          <t xml:space="preserve">                elif l == "typedMember":</t>
        </is>
      </c>
    </row>
    <row r="1068">
      <c r="A1068" s="29" t="inlineStr">
        <is>
          <t xml:space="preserve">                    ok = False</t>
        </is>
      </c>
    </row>
    <row r="1069">
      <c r="A1069" s="29" t="inlineStr">
        <is>
          <t xml:space="preserve">            contexts[cid] = (instant, dims) if ok else None</t>
        </is>
      </c>
    </row>
    <row r="1070">
      <c r="A1070" s="29" t="inlineStr"/>
    </row>
    <row r="1071">
      <c r="A1071" s="29" t="inlineStr">
        <is>
          <t xml:space="preserve">        facts: List[Fact] = []</t>
        </is>
      </c>
    </row>
    <row r="1072">
      <c r="A1072" s="29" t="inlineStr">
        <is>
          <t xml:space="preserve">        for el in root:</t>
        </is>
      </c>
    </row>
    <row r="1073">
      <c r="A1073" s="29" t="inlineStr">
        <is>
          <t xml:space="preserve">            l = local(el.tag)</t>
        </is>
      </c>
    </row>
    <row r="1074">
      <c r="A1074" s="29" t="inlineStr">
        <is>
          <t xml:space="preserve">            if l not in CQI_TAGS:</t>
        </is>
      </c>
    </row>
    <row r="1075">
      <c r="A1075" s="29" t="inlineStr">
        <is>
          <t xml:space="preserve">                continue</t>
        </is>
      </c>
    </row>
    <row r="1076">
      <c r="A1076" s="29" t="inlineStr">
        <is>
          <t xml:space="preserve">            if US_GAAP_URI_HINT not in tag_uri(el.tag):</t>
        </is>
      </c>
    </row>
    <row r="1077">
      <c r="A1077" s="29" t="inlineStr">
        <is>
          <t xml:space="preserve">                continue                   # extension re-declaration -- skip</t>
        </is>
      </c>
    </row>
    <row r="1078">
      <c r="A1078" s="29" t="inlineStr">
        <is>
          <t xml:space="preserve">            ctx = contexts.get(el.get("contextRef", ""))</t>
        </is>
      </c>
    </row>
    <row r="1079">
      <c r="A1079" s="29" t="inlineStr">
        <is>
          <t xml:space="preserve">            if not ctx:</t>
        </is>
      </c>
    </row>
    <row r="1080">
      <c r="A1080" s="29" t="inlineStr">
        <is>
          <t xml:space="preserve">                continue</t>
        </is>
      </c>
    </row>
    <row r="1081">
      <c r="A1081" s="29" t="inlineStr">
        <is>
          <t xml:space="preserve">            instant, dims = ctx</t>
        </is>
      </c>
    </row>
    <row r="1082">
      <c r="A1082" s="29" t="inlineStr">
        <is>
          <t xml:space="preserve">            if CQI_AXIS not in dims:</t>
        </is>
      </c>
    </row>
    <row r="1083">
      <c r="A1083" s="29" t="inlineStr">
        <is>
          <t xml:space="preserve">                continue                   # undimensioned totals: not CQI</t>
        </is>
      </c>
    </row>
    <row r="1084">
      <c r="A1084" s="29" t="inlineStr">
        <is>
          <t xml:space="preserve">            if instant[:10] != str(period)[:10]:</t>
        </is>
      </c>
    </row>
    <row r="1085">
      <c r="A1085" s="29" t="inlineStr">
        <is>
          <t xml:space="preserve">                continue                   # comparative prior column</t>
        </is>
      </c>
    </row>
    <row r="1086">
      <c r="A1086" s="29" t="inlineStr">
        <is>
          <t xml:space="preserve">            txt = (el.text or "").strip()</t>
        </is>
      </c>
    </row>
    <row r="1087">
      <c r="A1087" s="29" t="inlineStr">
        <is>
          <t xml:space="preserve">            if not txt or el.get("{http://www.w3.org/2001/XMLSchema-instance}"</t>
        </is>
      </c>
    </row>
    <row r="1088">
      <c r="A1088" s="29" t="inlineStr">
        <is>
          <t xml:space="preserve">                                 "nil") == "true":</t>
        </is>
      </c>
    </row>
    <row r="1089">
      <c r="A1089" s="29" t="inlineStr">
        <is>
          <t xml:space="preserve">                continue</t>
        </is>
      </c>
    </row>
    <row r="1090">
      <c r="A1090" s="29" t="inlineStr">
        <is>
          <t xml:space="preserve">            try:</t>
        </is>
      </c>
    </row>
    <row r="1091">
      <c r="A1091" s="29" t="inlineStr">
        <is>
          <t xml:space="preserve">                v = float(txt)</t>
        </is>
      </c>
    </row>
    <row r="1092">
      <c r="A1092" s="29" t="inlineStr">
        <is>
          <t xml:space="preserve">            except ValueError:</t>
        </is>
      </c>
    </row>
    <row r="1093">
      <c r="A1093" s="29" t="inlineStr">
        <is>
          <t xml:space="preserve">                continue</t>
        </is>
      </c>
    </row>
    <row r="1094">
      <c r="A1094" s="29" t="inlineStr">
        <is>
          <t xml:space="preserve">            facts.append(Fact(str(cik), str(period)[:10], l,</t>
        </is>
      </c>
    </row>
    <row r="1095">
      <c r="A1095" s="29" t="inlineStr">
        <is>
          <t xml:space="preserve">                              dims.get("CLASS", ""), dims[CQI_AXIS], v,</t>
        </is>
      </c>
    </row>
    <row r="1096">
      <c r="A1096" s="29" t="inlineStr">
        <is>
          <t xml:space="preserve">                              accession, acceptance, form))</t>
        </is>
      </c>
    </row>
    <row r="1097">
      <c r="A1097" s="29" t="inlineStr">
        <is>
          <t xml:space="preserve">        return facts</t>
        </is>
      </c>
    </row>
    <row r="1098">
      <c r="A1098" s="29" t="inlineStr"/>
    </row>
    <row r="1099">
      <c r="A1099" s="29" t="inlineStr">
        <is>
          <t xml:space="preserve">    # -- orchestration --------------------------------------------------------</t>
        </is>
      </c>
    </row>
    <row r="1100">
      <c r="A1100" s="29" t="inlineStr">
        <is>
          <t xml:space="preserve">    def _submission_rows(self, cik: str) -&gt; List[dict]:</t>
        </is>
      </c>
    </row>
    <row r="1101">
      <c r="A1101" s="29" t="inlineStr">
        <is>
          <t xml:space="preserve">        url = SUBMISSIONS_URL.format(cik10=cik10(cik))</t>
        </is>
      </c>
    </row>
    <row r="1102">
      <c r="A1102" s="29" t="inlineStr">
        <is>
          <t xml:space="preserve">        payload = json.loads(self._download(url, f"submissions cik:{cik}")</t>
        </is>
      </c>
    </row>
    <row r="1103">
      <c r="A1103" s="29" t="inlineStr">
        <is>
          <t xml:space="preserve">                             .decode("utf-8"))</t>
        </is>
      </c>
    </row>
    <row r="1104">
      <c r="A1104" s="29" t="inlineStr">
        <is>
          <t xml:space="preserve">        self.names[str(cik)] = payload.get("name", "") or ""</t>
        </is>
      </c>
    </row>
    <row r="1105">
      <c r="A1105" s="29" t="inlineStr">
        <is>
          <t xml:space="preserve">        rows = self.parse_submissions(payload)</t>
        </is>
      </c>
    </row>
    <row r="1106">
      <c r="A1106" s="29" t="inlineStr">
        <is>
          <t xml:space="preserve">        # older history via filings.files[] when the recent window is shallow</t>
        </is>
      </c>
    </row>
    <row r="1107">
      <c r="A1107" s="29" t="inlineStr">
        <is>
          <t xml:space="preserve">        oldest_needed = (self.asof</t>
        </is>
      </c>
    </row>
    <row r="1108">
      <c r="A1108" s="29" t="inlineStr">
        <is>
          <t xml:space="preserve">                         - timedelta(days=(self._raw_slots + 2) * QUARTER_DAYS))</t>
        </is>
      </c>
    </row>
    <row r="1109">
      <c r="A1109" s="29" t="inlineStr">
        <is>
          <t xml:space="preserve">        have_oldest = min((r.get("filingDate") or "9999" for r in rows),</t>
        </is>
      </c>
    </row>
    <row r="1110">
      <c r="A1110" s="29" t="inlineStr">
        <is>
          <t xml:space="preserve">                          default="9999")</t>
        </is>
      </c>
    </row>
    <row r="1111">
      <c r="A1111" s="29" t="inlineStr">
        <is>
          <t xml:space="preserve">        for extra in payload.get("filings", {}).get("files", []):</t>
        </is>
      </c>
    </row>
    <row r="1112">
      <c r="A1112" s="29" t="inlineStr">
        <is>
          <t xml:space="preserve">            if have_oldest &lt;= oldest_needed.isoformat():</t>
        </is>
      </c>
    </row>
    <row r="1113">
      <c r="A1113" s="29" t="inlineStr">
        <is>
          <t xml:space="preserve">                break</t>
        </is>
      </c>
    </row>
    <row r="1114">
      <c r="A1114" s="29" t="inlineStr">
        <is>
          <t xml:space="preserve">            name = extra.get("name")</t>
        </is>
      </c>
    </row>
    <row r="1115">
      <c r="A1115" s="29" t="inlineStr">
        <is>
          <t xml:space="preserve">            if not name:</t>
        </is>
      </c>
    </row>
    <row r="1116">
      <c r="A1116" s="29" t="inlineStr">
        <is>
          <t xml:space="preserve">                continue</t>
        </is>
      </c>
    </row>
    <row r="1117">
      <c r="A1117" s="29" t="inlineStr">
        <is>
          <t xml:space="preserve">            more = json.loads(self._download(</t>
        </is>
      </c>
    </row>
    <row r="1118">
      <c r="A1118" s="29" t="inlineStr">
        <is>
          <t xml:space="preserve">                "https://data.sec.gov/submissions/" + name,</t>
        </is>
      </c>
    </row>
    <row r="1119">
      <c r="A1119" s="29" t="inlineStr">
        <is>
          <t xml:space="preserve">                f"submissions page {name}").decode("utf-8"))</t>
        </is>
      </c>
    </row>
    <row r="1120">
      <c r="A1120" s="29" t="inlineStr">
        <is>
          <t xml:space="preserve">            page_rows = self.parse_submissions(more)</t>
        </is>
      </c>
    </row>
    <row r="1121">
      <c r="A1121" s="29" t="inlineStr">
        <is>
          <t xml:space="preserve">            rows.extend(page_rows)</t>
        </is>
      </c>
    </row>
    <row r="1122">
      <c r="A1122" s="29" t="inlineStr">
        <is>
          <t xml:space="preserve">            have_oldest = min((r.get("filingDate") or "9999"</t>
        </is>
      </c>
    </row>
    <row r="1123">
      <c r="A1123" s="29" t="inlineStr">
        <is>
          <t xml:space="preserve">                               for r in page_rows), default=have_oldest)</t>
        </is>
      </c>
    </row>
    <row r="1124">
      <c r="A1124" s="29" t="inlineStr">
        <is>
          <t xml:space="preserve">        return rows</t>
        </is>
      </c>
    </row>
    <row r="1125">
      <c r="A1125" s="29" t="inlineStr"/>
    </row>
    <row r="1126">
      <c r="A1126" s="29" t="inlineStr">
        <is>
          <t xml:space="preserve">    def _instance_url(self, cik: str, accession: str,</t>
        </is>
      </c>
    </row>
    <row r="1127">
      <c r="A1127" s="29" t="inlineStr">
        <is>
          <t xml:space="preserve">                      primary_doc: str) -&gt; Optional[str]:</t>
        </is>
      </c>
    </row>
    <row r="1128">
      <c r="A1128" s="29" t="inlineStr">
        <is>
          <t xml:space="preserve">        base = filing_dir_url(cik, accession)</t>
        </is>
      </c>
    </row>
    <row r="1129">
      <c r="A1129" s="29" t="inlineStr">
        <is>
          <t xml:space="preserve">        idx = json.loads(self._download(base + "index.json",</t>
        </is>
      </c>
    </row>
    <row r="1130">
      <c r="A1130" s="29" t="inlineStr">
        <is>
          <t xml:space="preserve">                                        f"index cik:{cik} {accession}")</t>
        </is>
      </c>
    </row>
    <row r="1131">
      <c r="A1131" s="29" t="inlineStr">
        <is>
          <t xml:space="preserve">                         .decode("utf-8"))</t>
        </is>
      </c>
    </row>
    <row r="1132">
      <c r="A1132" s="29" t="inlineStr">
        <is>
          <t xml:space="preserve">        items = (idx.get("directory") or {}).get("item", [])</t>
        </is>
      </c>
    </row>
    <row r="1133">
      <c r="A1133" s="29" t="inlineStr">
        <is>
          <t xml:space="preserve">        names = [it.get("name", "") for it in items]</t>
        </is>
      </c>
    </row>
    <row r="1134">
      <c r="A1134" s="29" t="inlineStr">
        <is>
          <t xml:space="preserve">        stem = os.path.splitext(str(primary_doc or "").split("/")[-1])[0]</t>
        </is>
      </c>
    </row>
    <row r="1135">
      <c r="A1135" s="29" t="inlineStr">
        <is>
          <t xml:space="preserve">        cands = [n for n in names if n.endswith("_htm.xml")]</t>
        </is>
      </c>
    </row>
    <row r="1136">
      <c r="A1136" s="29" t="inlineStr">
        <is>
          <t xml:space="preserve">        if not cands:</t>
        </is>
      </c>
    </row>
    <row r="1137">
      <c r="A1137" s="29" t="inlineStr">
        <is>
          <t xml:space="preserve">            return None</t>
        </is>
      </c>
    </row>
    <row r="1138">
      <c r="A1138" s="29" t="inlineStr">
        <is>
          <t xml:space="preserve">        for n in cands:</t>
        </is>
      </c>
    </row>
    <row r="1139">
      <c r="A1139" s="29" t="inlineStr">
        <is>
          <t xml:space="preserve">            if stem and n.startswith(stem):</t>
        </is>
      </c>
    </row>
    <row r="1140">
      <c r="A1140" s="29" t="inlineStr">
        <is>
          <t xml:space="preserve">                return base + n</t>
        </is>
      </c>
    </row>
    <row r="1141">
      <c r="A1141" s="29" t="inlineStr">
        <is>
          <t xml:space="preserve">        return base + cands[0]</t>
        </is>
      </c>
    </row>
    <row r="1142">
      <c r="A1142" s="29" t="inlineStr"/>
    </row>
    <row r="1143">
      <c r="A1143" s="29" t="inlineStr">
        <is>
          <t xml:space="preserve">    def prime(self, ciks, asof=None, names=None):</t>
        </is>
      </c>
    </row>
    <row r="1144">
      <c r="A1144" s="29" t="inlineStr">
        <is>
          <t xml:space="preserve">        if names:</t>
        </is>
      </c>
    </row>
    <row r="1145">
      <c r="A1145" s="29" t="inlineStr">
        <is>
          <t xml:space="preserve">            for c, n in names.items():</t>
        </is>
      </c>
    </row>
    <row r="1146">
      <c r="A1146" s="29" t="inlineStr">
        <is>
          <t xml:space="preserve">                self.names.setdefault(str(c), n)</t>
        </is>
      </c>
    </row>
    <row r="1147">
      <c r="A1147" s="29" t="inlineStr">
        <is>
          <t xml:space="preserve">        for cik in [str(c) for c in ciks if str(c)]:</t>
        </is>
      </c>
    </row>
    <row r="1148">
      <c r="A1148" s="29" t="inlineStr">
        <is>
          <t xml:space="preserve">            rows = self._submission_rows(cik)</t>
        </is>
      </c>
    </row>
    <row r="1149">
      <c r="A1149" s="29" t="inlineStr">
        <is>
          <t xml:space="preserve">            self._events[cik] = self.harvest_events(rows, cik, self.asof)</t>
        </is>
      </c>
    </row>
    <row r="1150">
      <c r="A1150" s="29" t="inlineStr">
        <is>
          <t xml:space="preserve">            facts: List[Fact] = []</t>
        </is>
      </c>
    </row>
    <row r="1151">
      <c r="A1151" s="29" t="inlineStr">
        <is>
          <t xml:space="preserve">            for filing in self.select_quarterly(rows, self._raw_slots,</t>
        </is>
      </c>
    </row>
    <row r="1152">
      <c r="A1152" s="29" t="inlineStr">
        <is>
          <t xml:space="preserve">                                                self.asof):</t>
        </is>
      </c>
    </row>
    <row r="1153">
      <c r="A1153" s="29" t="inlineStr">
        <is>
          <t xml:space="preserve">                acc = filing.get("accessionNumber", "")</t>
        </is>
      </c>
    </row>
    <row r="1154">
      <c r="A1154" s="29" t="inlineStr">
        <is>
          <t xml:space="preserve">                try:</t>
        </is>
      </c>
    </row>
    <row r="1155">
      <c r="A1155" s="29" t="inlineStr">
        <is>
          <t xml:space="preserve">                    url = self._instance_url(cik, acc,</t>
        </is>
      </c>
    </row>
    <row r="1156">
      <c r="A1156" s="29" t="inlineStr">
        <is>
          <t xml:space="preserve">                                             filing.get("primaryDocument", ""))</t>
        </is>
      </c>
    </row>
    <row r="1157">
      <c r="A1157" s="29" t="inlineStr">
        <is>
          <t xml:space="preserve">                    if url is None:</t>
        </is>
      </c>
    </row>
    <row r="1158">
      <c r="A1158" s="29" t="inlineStr">
        <is>
          <t xml:space="preserve">                        self.errors.append(</t>
        </is>
      </c>
    </row>
    <row r="1159">
      <c r="A1159" s="29" t="inlineStr">
        <is>
          <t xml:space="preserve">                            f"cik:{cik} {acc}: no extracted instance "</t>
        </is>
      </c>
    </row>
    <row r="1160">
      <c r="A1160" s="29" t="inlineStr">
        <is>
          <t xml:space="preserve">                            "(*_htm.xml) in the filing directory -- pre-iXBRL "</t>
        </is>
      </c>
    </row>
    <row r="1161">
      <c r="A1161" s="29" t="inlineStr">
        <is>
          <t xml:space="preserve">                            "filing? (EX-101.INS backfill is v1.1)")</t>
        </is>
      </c>
    </row>
    <row r="1162">
      <c r="A1162" s="29" t="inlineStr">
        <is>
          <t xml:space="preserve">                        continue</t>
        </is>
      </c>
    </row>
    <row r="1163">
      <c r="A1163" s="29" t="inlineStr">
        <is>
          <t xml:space="preserve">                    data = self._download(url, f"instance cik:{cik} {acc}")</t>
        </is>
      </c>
    </row>
    <row r="1164">
      <c r="A1164" s="29" t="inlineStr">
        <is>
          <t xml:space="preserve">                except RuntimeError as exc:</t>
        </is>
      </c>
    </row>
    <row r="1165">
      <c r="A1165" s="29" t="inlineStr">
        <is>
          <t xml:space="preserve">                    self.errors.append(str(exc))</t>
        </is>
      </c>
    </row>
    <row r="1166">
      <c r="A1166" s="29" t="inlineStr">
        <is>
          <t xml:space="preserve">                    continue</t>
        </is>
      </c>
    </row>
    <row r="1167">
      <c r="A1167" s="29" t="inlineStr">
        <is>
          <t xml:space="preserve">                facts.extend(self.parse_instance(</t>
        </is>
      </c>
    </row>
    <row r="1168">
      <c r="A1168" s="29" t="inlineStr">
        <is>
          <t xml:space="preserve">                    data, cik, filing.get("reportDate", ""), acc,</t>
        </is>
      </c>
    </row>
    <row r="1169">
      <c r="A1169" s="29" t="inlineStr">
        <is>
          <t xml:space="preserve">                    filing.get("acceptanceDateTime", ""),</t>
        </is>
      </c>
    </row>
    <row r="1170">
      <c r="A1170" s="29" t="inlineStr">
        <is>
          <t xml:space="preserve">                    filing.get("form", "")))</t>
        </is>
      </c>
    </row>
    <row r="1171">
      <c r="A1171" s="29" t="inlineStr">
        <is>
          <t xml:space="preserve">            self._facts[cik] = facts</t>
        </is>
      </c>
    </row>
    <row r="1172">
      <c r="A1172" s="29" t="inlineStr">
        <is>
          <t xml:space="preserve">        self.vintage = (f"EDGAR submissions as of {self.asof.isoformat()} "</t>
        </is>
      </c>
    </row>
    <row r="1173">
      <c r="A1173" s="29" t="inlineStr">
        <is>
          <t xml:space="preserve">                        f"(accessions recorded per fact)")</t>
        </is>
      </c>
    </row>
    <row r="1174">
      <c r="A1174" s="29" t="inlineStr"/>
    </row>
    <row r="1175">
      <c r="A1175" s="29" t="inlineStr">
        <is>
          <t xml:space="preserve">    def fetch_facts(self, cik: str) -&gt; List[Fact]:</t>
        </is>
      </c>
    </row>
    <row r="1176">
      <c r="A1176" s="29" t="inlineStr">
        <is>
          <t xml:space="preserve">        return list(self._facts.get(str(cik), []))</t>
        </is>
      </c>
    </row>
    <row r="1177">
      <c r="A1177" s="29" t="inlineStr"/>
    </row>
    <row r="1178">
      <c r="A1178" s="29" t="inlineStr">
        <is>
          <t xml:space="preserve">    def fetch_events(self, cik: str) -&gt; List[Event]:</t>
        </is>
      </c>
    </row>
    <row r="1179">
      <c r="A1179" s="29" t="inlineStr">
        <is>
          <t xml:space="preserve">        return list(self._events.get(str(cik), []))</t>
        </is>
      </c>
    </row>
    <row r="1180">
      <c r="A1180" s="29" t="inlineStr"/>
    </row>
    <row r="1181">
      <c r="A1181" s="29" t="inlineStr">
        <is>
          <t xml:space="preserve">    # -- helpers exposed to the CLI -------------------------------------------</t>
        </is>
      </c>
    </row>
    <row r="1182">
      <c r="A1182" s="29" t="inlineStr">
        <is>
          <t xml:space="preserve">    def lookup(self, name: str) -&gt; List[dict]:</t>
        </is>
      </c>
    </row>
    <row r="1183">
      <c r="A1183" s="29" t="inlineStr">
        <is>
          <t xml:space="preserve">        payload = json.loads(self._download(TICKERS_URL, "company_tickers")</t>
        </is>
      </c>
    </row>
    <row r="1184">
      <c r="A1184" s="29" t="inlineStr">
        <is>
          <t xml:space="preserve">                             .decode("utf-8"))</t>
        </is>
      </c>
    </row>
    <row r="1185">
      <c r="A1185" s="29" t="inlineStr">
        <is>
          <t xml:space="preserve">        needle = name.strip().lower()</t>
        </is>
      </c>
    </row>
    <row r="1186">
      <c r="A1186" s="29" t="inlineStr">
        <is>
          <t xml:space="preserve">        hits = []</t>
        </is>
      </c>
    </row>
    <row r="1187">
      <c r="A1187" s="29" t="inlineStr">
        <is>
          <t xml:space="preserve">        for rec in payload.values():</t>
        </is>
      </c>
    </row>
    <row r="1188">
      <c r="A1188" s="29" t="inlineStr">
        <is>
          <t xml:space="preserve">            title = str(rec.get("title", ""))</t>
        </is>
      </c>
    </row>
    <row r="1189">
      <c r="A1189" s="29" t="inlineStr">
        <is>
          <t xml:space="preserve">            ticker = str(rec.get("ticker", ""))</t>
        </is>
      </c>
    </row>
    <row r="1190">
      <c r="A1190" s="29" t="inlineStr">
        <is>
          <t xml:space="preserve">            if needle in title.lower() or needle == ticker.lower():</t>
        </is>
      </c>
    </row>
    <row r="1191">
      <c r="A1191" s="29" t="inlineStr">
        <is>
          <t xml:space="preserve">                hits.append({"cik": str(rec.get("cik_str", "")),</t>
        </is>
      </c>
    </row>
    <row r="1192">
      <c r="A1192" s="29" t="inlineStr">
        <is>
          <t xml:space="preserve">                             "ticker": ticker, "title": title})</t>
        </is>
      </c>
    </row>
    <row r="1193">
      <c r="A1193" s="29" t="inlineStr">
        <is>
          <t xml:space="preserve">        return hits[:15]</t>
        </is>
      </c>
    </row>
    <row r="1194">
      <c r="A1194" s="29" t="inlineStr"/>
    </row>
    <row r="1195">
      <c r="A1195" s="29" t="inlineStr"/>
    </row>
    <row r="1196">
      <c r="A1196" s="29" t="inlineStr">
        <is>
          <t>def resolve_secret(cfg: Config) -&gt; Optional[str]:</t>
        </is>
      </c>
    </row>
    <row r="1197">
      <c r="A1197" s="29" t="inlineStr">
        <is>
          <t xml:space="preserve">    """Contract plumbing: the NAME of a licensed (Class C) secret env var.</t>
        </is>
      </c>
    </row>
    <row r="1198">
      <c r="A1198" s="29" t="inlineStr">
        <is>
          <t xml:space="preserve">    Unused in v1 -- EDGAR is keyless and the gates admit only Class A."""</t>
        </is>
      </c>
    </row>
    <row r="1199">
      <c r="A1199" s="29" t="inlineStr">
        <is>
          <t xml:space="preserve">    name = str(cfg.setting("secret_env", "") or "").strip()</t>
        </is>
      </c>
    </row>
    <row r="1200">
      <c r="A1200" s="29" t="inlineStr">
        <is>
          <t xml:space="preserve">    if not name:</t>
        </is>
      </c>
    </row>
    <row r="1201">
      <c r="A1201" s="29" t="inlineStr">
        <is>
          <t xml:space="preserve">        return None</t>
        </is>
      </c>
    </row>
    <row r="1202">
      <c r="A1202" s="29" t="inlineStr">
        <is>
          <t xml:space="preserve">    return os.environ.get(name)</t>
        </is>
      </c>
    </row>
    <row r="1203">
      <c r="A1203" s="29" t="inlineStr"/>
    </row>
    <row r="1204">
      <c r="A1204" s="29" t="inlineStr"/>
    </row>
    <row r="1205">
      <c r="A1205" s="29" t="inlineStr">
        <is>
          <t>def make_provider(cfg: Config, demo: bool, asof: Optional[date]) -&gt; Provider:</t>
        </is>
      </c>
    </row>
    <row r="1206">
      <c r="A1206" s="29" t="inlineStr">
        <is>
          <t xml:space="preserve">    if demo or _as_bool(cfg.setting("demo_mode", "false")):</t>
        </is>
      </c>
    </row>
    <row r="1207">
      <c r="A1207" s="29" t="inlineStr">
        <is>
          <t xml:space="preserve">        return EdgarDemoProvider(asof=asof, raw_slots=cfg.raw_slots)</t>
        </is>
      </c>
    </row>
    <row r="1208">
      <c r="A1208" s="29" t="inlineStr">
        <is>
          <t xml:space="preserve">    return EdgarProvider(</t>
        </is>
      </c>
    </row>
    <row r="1209">
      <c r="A1209" s="29" t="inlineStr">
        <is>
          <t xml:space="preserve">        user_agent=cfg.user_agent,</t>
        </is>
      </c>
    </row>
    <row r="1210">
      <c r="A1210" s="29" t="inlineStr">
        <is>
          <t xml:space="preserve">        min_interval=float(cfg.setting("http_min_interval", 0.2) or 0.2),</t>
        </is>
      </c>
    </row>
    <row r="1211">
      <c r="A1211" s="29" t="inlineStr">
        <is>
          <t xml:space="preserve">        max_retries=int(float(cfg.setting("edgar_max_retries", 4) or 4)),</t>
        </is>
      </c>
    </row>
    <row r="1212">
      <c r="A1212" s="29" t="inlineStr">
        <is>
          <t xml:space="preserve">        raw_slots=cfg.raw_slots, asof=asof)</t>
        </is>
      </c>
    </row>
    <row r="1213">
      <c r="A1213" s="29" t="inlineStr"/>
    </row>
    <row r="1214">
      <c r="A1214" s="29" t="inlineStr"/>
    </row>
    <row r="1215">
      <c r="A1215" s="29" t="inlineStr">
        <is>
          <t># ---------------------------------------------------------------------------</t>
        </is>
      </c>
    </row>
    <row r="1216">
      <c r="A1216" s="29" t="inlineStr">
        <is>
          <t># THE METRIC ENGINE -- facts + [MEMBER_MAP]/[CLASS_MAP] -&gt; canonical quarterly</t>
        </is>
      </c>
    </row>
    <row r="1217">
      <c r="A1217" s="29" t="inlineStr">
        <is>
          <t># rollups (BUILD SPEC sec 3). Family-gated Tier 2; unmapped members surface,</t>
        </is>
      </c>
    </row>
    <row r="1218">
      <c r="A1218" s="29" t="inlineStr">
        <is>
          <t># never guessed; the values landed here ARE what the dashboards reference.</t>
        </is>
      </c>
    </row>
    <row r="1219">
      <c r="A1219" s="29" t="inlineStr">
        <is>
          <t># ---------------------------------------------------------------------------</t>
        </is>
      </c>
    </row>
    <row r="1220">
      <c r="A1220" s="29" t="inlineStr">
        <is>
          <t>@dataclass</t>
        </is>
      </c>
    </row>
    <row r="1221">
      <c r="A1221" s="29" t="inlineStr">
        <is>
          <t>class QuarterRollup:</t>
        </is>
      </c>
    </row>
    <row r="1222">
      <c r="A1222" s="29" t="inlineStr">
        <is>
          <t xml:space="preserve">    period: str</t>
        </is>
      </c>
    </row>
    <row r="1223">
      <c r="A1223" s="29" t="inlineStr">
        <is>
          <t xml:space="preserve">    tag: str</t>
        </is>
      </c>
    </row>
    <row r="1224">
      <c r="A1224" s="29" t="inlineStr">
        <is>
          <t xml:space="preserve">    accession: str</t>
        </is>
      </c>
    </row>
    <row r="1225">
      <c r="A1225" s="29" t="inlineStr">
        <is>
          <t xml:space="preserve">    values: Dict[str, Optional[float]]      # keyed by RAW_METRIC_COLS ids</t>
        </is>
      </c>
    </row>
    <row r="1226">
      <c r="A1226" s="29" t="inlineStr">
        <is>
          <t xml:space="preserve">    facts: List[Tuple[Fact, str, str]]      # (fact, class, grade) annotated</t>
        </is>
      </c>
    </row>
    <row r="1227">
      <c r="A1227" s="29" t="inlineStr"/>
    </row>
    <row r="1228">
      <c r="A1228" s="29" t="inlineStr"/>
    </row>
    <row r="1229">
      <c r="A1229" s="29" t="inlineStr">
        <is>
          <t>def _pick_tag(qfacts: List[Fact]) -&gt; str:</t>
        </is>
      </c>
    </row>
    <row r="1230">
      <c r="A1230" s="29" t="inlineStr">
        <is>
          <t xml:space="preserve">    """Per-bank accrued-interest twin preference (trap E2): the tag the bank</t>
        </is>
      </c>
    </row>
    <row r="1231">
      <c r="A1231" s="29" t="inlineStr">
        <is>
          <t xml:space="preserve">    actually populates wins; a tie prefers the ExcludingAccruedInterest twin</t>
        </is>
      </c>
    </row>
    <row r="1232">
      <c r="A1232" s="29" t="inlineStr">
        <is>
          <t xml:space="preserve">    (the post-2022 disclosure style)."""</t>
        </is>
      </c>
    </row>
    <row r="1233">
      <c r="A1233" s="29" t="inlineStr">
        <is>
          <t xml:space="preserve">    n_ex = sum(1 for f in qfacts if f.tag == TAG_EXCL)</t>
        </is>
      </c>
    </row>
    <row r="1234">
      <c r="A1234" s="29" t="inlineStr">
        <is>
          <t xml:space="preserve">    n_pr = sum(1 for f in qfacts if f.tag == TAG_PRIMARY)</t>
        </is>
      </c>
    </row>
    <row r="1235">
      <c r="A1235" s="29" t="inlineStr">
        <is>
          <t xml:space="preserve">    return TAG_EXCL if n_ex &gt;= n_pr else TAG_PRIMARY</t>
        </is>
      </c>
    </row>
    <row r="1236">
      <c r="A1236" s="29" t="inlineStr"/>
    </row>
    <row r="1237">
      <c r="A1237" s="29" t="inlineStr"/>
    </row>
    <row r="1238">
      <c r="A1238" s="29" t="inlineStr">
        <is>
          <t>def rollup_bank(cik: str, facts: List[Fact], cfg: Config</t>
        </is>
      </c>
    </row>
    <row r="1239">
      <c r="A1239" s="29" t="inlineStr">
        <is>
          <t xml:space="preserve">                ) -&gt; Tuple[List[QuarterRollup], Set[str], Set[str]]:</t>
        </is>
      </c>
    </row>
    <row r="1240">
      <c r="A1240" s="29" t="inlineStr">
        <is>
          <t xml:space="preserve">    """All quarterly rollups for one bank, newest-first, plus the sets of</t>
        </is>
      </c>
    </row>
    <row r="1241">
      <c r="A1241" s="29" t="inlineStr">
        <is>
          <t xml:space="preserve">    UNMAPPED grade member qnames and UNMAPPED class member qnames observed</t>
        </is>
      </c>
    </row>
    <row r="1242">
      <c r="A1242" s="29" t="inlineStr">
        <is>
          <t xml:space="preserve">    (the bootstrap feed -- contract sec 13)."""</t>
        </is>
      </c>
    </row>
    <row r="1243">
      <c r="A1243" s="29" t="inlineStr">
        <is>
          <t xml:space="preserve">    fam = cfg.family_of(cik)</t>
        </is>
      </c>
    </row>
    <row r="1244">
      <c r="A1244" s="29" t="inlineStr">
        <is>
          <t xml:space="preserve">    unmapped_members: Set[str] = set()</t>
        </is>
      </c>
    </row>
    <row r="1245">
      <c r="A1245" s="29" t="inlineStr">
        <is>
          <t xml:space="preserve">    unmapped_classes: Set[str] = set()</t>
        </is>
      </c>
    </row>
    <row r="1246">
      <c r="A1246" s="29" t="inlineStr">
        <is>
          <t xml:space="preserve">    by_period: Dict[str, List[Fact]] = {}</t>
        </is>
      </c>
    </row>
    <row r="1247">
      <c r="A1247" s="29" t="inlineStr">
        <is>
          <t xml:space="preserve">    for f in facts:</t>
        </is>
      </c>
    </row>
    <row r="1248">
      <c r="A1248" s="29" t="inlineStr">
        <is>
          <t xml:space="preserve">        by_period.setdefault(f.period, []).append(f)</t>
        </is>
      </c>
    </row>
    <row r="1249">
      <c r="A1249" s="29" t="inlineStr"/>
    </row>
    <row r="1250">
      <c r="A1250" s="29" t="inlineStr">
        <is>
          <t xml:space="preserve">    quarters: List[QuarterRollup] = []</t>
        </is>
      </c>
    </row>
    <row r="1251">
      <c r="A1251" s="29" t="inlineStr">
        <is>
          <t xml:space="preserve">    for period in sorted(by_period, reverse=True):</t>
        </is>
      </c>
    </row>
    <row r="1252">
      <c r="A1252" s="29" t="inlineStr">
        <is>
          <t xml:space="preserve">        qfacts = by_period[period]</t>
        </is>
      </c>
    </row>
    <row r="1253">
      <c r="A1253" s="29" t="inlineStr">
        <is>
          <t xml:space="preserve">        tag = _pick_tag(qfacts)</t>
        </is>
      </c>
    </row>
    <row r="1254">
      <c r="A1254" s="29" t="inlineStr">
        <is>
          <t xml:space="preserve">        qfacts = [f for f in qfacts if f.tag == tag]</t>
        </is>
      </c>
    </row>
    <row r="1255">
      <c r="A1255" s="29" t="inlineStr">
        <is>
          <t xml:space="preserve">        per_class = [f for f in qfacts if f.class_qname]</t>
        </is>
      </c>
    </row>
    <row r="1256">
      <c r="A1256" s="29" t="inlineStr">
        <is>
          <t xml:space="preserve">        use = per_class if per_class else qfacts   # totals-only fallback</t>
        </is>
      </c>
    </row>
    <row r="1257">
      <c r="A1257" s="29" t="inlineStr">
        <is>
          <t xml:space="preserve">        annotated: List[Tuple[Fact, str, str]] = []</t>
        </is>
      </c>
    </row>
    <row r="1258">
      <c r="A1258" s="29" t="inlineStr">
        <is>
          <t xml:space="preserve">        total = crit = classified = sm = 0.0</t>
        </is>
      </c>
    </row>
    <row r="1259">
      <c r="A1259" s="29" t="inlineStr">
        <is>
          <t xml:space="preserve">        crit_by_class: Dict[str, float] = {}</t>
        </is>
      </c>
    </row>
    <row r="1260">
      <c r="A1260" s="29" t="inlineStr">
        <is>
          <t xml:space="preserve">        for f in use:</t>
        </is>
      </c>
    </row>
    <row r="1261">
      <c r="A1261" s="29" t="inlineStr">
        <is>
          <t xml:space="preserve">            grade = cfg.grade_of(cik, f.grade_qname)</t>
        </is>
      </c>
    </row>
    <row r="1262">
      <c r="A1262" s="29" t="inlineStr">
        <is>
          <t xml:space="preserve">            if grade is None:</t>
        </is>
      </c>
    </row>
    <row r="1263">
      <c r="A1263" s="29" t="inlineStr">
        <is>
          <t xml:space="preserve">                grade = "unmapped"</t>
        </is>
      </c>
    </row>
    <row r="1264">
      <c r="A1264" s="29" t="inlineStr">
        <is>
          <t xml:space="preserve">            if grade == "unmapped":</t>
        </is>
      </c>
    </row>
    <row r="1265">
      <c r="A1265" s="29" t="inlineStr">
        <is>
          <t xml:space="preserve">                # both never-seen members AND members already bootstrapped</t>
        </is>
      </c>
    </row>
    <row r="1266">
      <c r="A1266" s="29" t="inlineStr">
        <is>
          <t xml:space="preserve">                # as unmapped stay flagged until manually mapped</t>
        </is>
      </c>
    </row>
    <row r="1267">
      <c r="A1267" s="29" t="inlineStr">
        <is>
          <t xml:space="preserve">                unmapped_members.add(f.grade_qname)</t>
        </is>
      </c>
    </row>
    <row r="1268">
      <c r="A1268" s="29" t="inlineStr">
        <is>
          <t xml:space="preserve">            if f.class_qname:</t>
        </is>
      </c>
    </row>
    <row r="1269">
      <c r="A1269" s="29" t="inlineStr">
        <is>
          <t xml:space="preserve">                klass = cfg.class_of(cik, f.class_qname)</t>
        </is>
      </c>
    </row>
    <row r="1270">
      <c r="A1270" s="29" t="inlineStr">
        <is>
          <t xml:space="preserve">                if klass is None:</t>
        </is>
      </c>
    </row>
    <row r="1271">
      <c r="A1271" s="29" t="inlineStr">
        <is>
          <t xml:space="preserve">                    klass = "unmapped"</t>
        </is>
      </c>
    </row>
    <row r="1272">
      <c r="A1272" s="29" t="inlineStr">
        <is>
          <t xml:space="preserve">                if klass == "unmapped":</t>
        </is>
      </c>
    </row>
    <row r="1273">
      <c r="A1273" s="29" t="inlineStr">
        <is>
          <t xml:space="preserve">                    unmapped_classes.add(f.class_qname)</t>
        </is>
      </c>
    </row>
    <row r="1274">
      <c r="A1274" s="29" t="inlineStr">
        <is>
          <t xml:space="preserve">            else:</t>
        </is>
      </c>
    </row>
    <row r="1275">
      <c r="A1275" s="29" t="inlineStr">
        <is>
          <t xml:space="preserve">                klass = "total"</t>
        </is>
      </c>
    </row>
    <row r="1276">
      <c r="A1276" s="29" t="inlineStr">
        <is>
          <t xml:space="preserve">            annotated.append((f, klass, grade))</t>
        </is>
      </c>
    </row>
    <row r="1277">
      <c r="A1277" s="29" t="inlineStr">
        <is>
          <t xml:space="preserve">            if klass in ("excluded", "unmapped"):</t>
        </is>
      </c>
    </row>
    <row r="1278">
      <c r="A1278" s="29" t="inlineStr">
        <is>
          <t xml:space="preserve">                continue                 # consumer books / unknowable classes</t>
        </is>
      </c>
    </row>
    <row r="1279">
      <c r="A1279" s="29" t="inlineStr">
        <is>
          <t xml:space="preserve">            if grade == "ignore":</t>
        </is>
      </c>
    </row>
    <row r="1280">
      <c r="A1280" s="29" t="inlineStr">
        <is>
          <t xml:space="preserve">                continue                 # filer-tagged subtotals (E4 note)</t>
        </is>
      </c>
    </row>
    <row r="1281">
      <c r="A1281" s="29" t="inlineStr">
        <is>
          <t xml:space="preserve">            # unmapped grade members ARE part of the amortized-cost total</t>
        </is>
      </c>
    </row>
    <row r="1282">
      <c r="A1282" s="29" t="inlineStr">
        <is>
          <t xml:space="preserve">            # (a fact, not a guess) but NEVER enter a numerator; the bank is</t>
        </is>
      </c>
    </row>
    <row r="1283">
      <c r="A1283" s="29" t="inlineStr">
        <is>
          <t xml:space="preserve">            # flagged "needs manual mapping" in the digest.</t>
        </is>
      </c>
    </row>
    <row r="1284">
      <c r="A1284" s="29" t="inlineStr">
        <is>
          <t xml:space="preserve">            total += f.value</t>
        </is>
      </c>
    </row>
    <row r="1285">
      <c r="A1285" s="29" t="inlineStr">
        <is>
          <t xml:space="preserve">            if grade in CRITICIZED_GRADES:</t>
        </is>
      </c>
    </row>
    <row r="1286">
      <c r="A1286" s="29" t="inlineStr">
        <is>
          <t xml:space="preserve">                crit += f.value</t>
        </is>
      </c>
    </row>
    <row r="1287">
      <c r="A1287" s="29" t="inlineStr">
        <is>
          <t xml:space="preserve">                crit_by_class[klass] = crit_by_class.get(klass, 0.0) + f.value</t>
        </is>
      </c>
    </row>
    <row r="1288">
      <c r="A1288" s="29" t="inlineStr">
        <is>
          <t xml:space="preserve">            if grade in CLASSIFIED_GRADES:</t>
        </is>
      </c>
    </row>
    <row r="1289">
      <c r="A1289" s="29" t="inlineStr">
        <is>
          <t xml:space="preserve">                classified += f.value</t>
        </is>
      </c>
    </row>
    <row r="1290">
      <c r="A1290" s="29" t="inlineStr">
        <is>
          <t xml:space="preserve">            if grade == "special_mention":</t>
        </is>
      </c>
    </row>
    <row r="1291">
      <c r="A1291" s="29" t="inlineStr">
        <is>
          <t xml:space="preserve">                sm += f.value</t>
        </is>
      </c>
    </row>
    <row r="1292">
      <c r="A1292" s="29" t="inlineStr"/>
    </row>
    <row r="1293">
      <c r="A1293" s="29" t="inlineStr">
        <is>
          <t xml:space="preserve">        v: Dict[str, Optional[float]] = {c: None for c in RAW_METRIC_COLS}</t>
        </is>
      </c>
    </row>
    <row r="1294">
      <c r="A1294" s="29" t="inlineStr">
        <is>
          <t xml:space="preserve">        v["TOTAL_COMM_USD"] = total if total else None</t>
        </is>
      </c>
    </row>
    <row r="1295">
      <c r="A1295" s="29" t="inlineStr">
        <is>
          <t xml:space="preserve">        crit_capable = fam in ("grades_full", "criticized_only")</t>
        </is>
      </c>
    </row>
    <row r="1296">
      <c r="A1296" s="29" t="inlineStr">
        <is>
          <t xml:space="preserve">        if crit_capable:</t>
        </is>
      </c>
    </row>
    <row r="1297">
      <c r="A1297" s="29" t="inlineStr">
        <is>
          <t xml:space="preserve">            v["CRIT_RATIO"] = _ratio(crit, total)</t>
        </is>
      </c>
    </row>
    <row r="1298">
      <c r="A1298" s="29" t="inlineStr">
        <is>
          <t xml:space="preserve">            v["CRIT_USD"] = crit if total else None</t>
        </is>
      </c>
    </row>
    <row r="1299">
      <c r="A1299" s="29" t="inlineStr">
        <is>
          <t xml:space="preserve">            # class mix only when the bank actually dimensions by class --</t>
        </is>
      </c>
    </row>
    <row r="1300">
      <c r="A1300" s="29" t="inlineStr">
        <is>
          <t xml:space="preserve">            # a totals-only quarter leaves the mix BLANK, never 0</t>
        </is>
      </c>
    </row>
    <row r="1301">
      <c r="A1301" s="29" t="inlineStr">
        <is>
          <t xml:space="preserve">            if crit &gt; 0 and per_class:</t>
        </is>
      </c>
    </row>
    <row r="1302">
      <c r="A1302" s="29" t="inlineStr">
        <is>
          <t xml:space="preserve">                v["MIX_CI"] = _ratio(crit_by_class.get("ci", 0.0), crit)</t>
        </is>
      </c>
    </row>
    <row r="1303">
      <c r="A1303" s="29" t="inlineStr">
        <is>
          <t xml:space="preserve">                v["MIX_CRE"] = _ratio(crit_by_class.get("cre", 0.0), crit)</t>
        </is>
      </c>
    </row>
    <row r="1304">
      <c r="A1304" s="29" t="inlineStr">
        <is>
          <t xml:space="preserve">                v["MIX_CONSTR"] = _ratio(</t>
        </is>
      </c>
    </row>
    <row r="1305">
      <c r="A1305" s="29" t="inlineStr">
        <is>
          <t xml:space="preserve">                    crit_by_class.get("construction", 0.0), crit)</t>
        </is>
      </c>
    </row>
    <row r="1306">
      <c r="A1306" s="29" t="inlineStr">
        <is>
          <t xml:space="preserve">                v["MIX_OTHER"] = _ratio(</t>
        </is>
      </c>
    </row>
    <row r="1307">
      <c r="A1307" s="29" t="inlineStr">
        <is>
          <t xml:space="preserve">                    crit_by_class.get("other_commercial", 0.0), crit)</t>
        </is>
      </c>
    </row>
    <row r="1308">
      <c r="A1308" s="29" t="inlineStr">
        <is>
          <t xml:space="preserve">        if fam == "grades_full":         # Tier 2, flag-gated (BUILD SPEC 0.6)</t>
        </is>
      </c>
    </row>
    <row r="1309">
      <c r="A1309" s="29" t="inlineStr">
        <is>
          <t xml:space="preserve">            v["CLASS_RATIO"] = _ratio(classified, total)</t>
        </is>
      </c>
    </row>
    <row r="1310">
      <c r="A1310" s="29" t="inlineStr">
        <is>
          <t xml:space="preserve">            v["CLASS_USD"] = classified if total else None</t>
        </is>
      </c>
    </row>
    <row r="1311">
      <c r="A1311" s="29" t="inlineStr">
        <is>
          <t xml:space="preserve">            v["SM_RATIO"] = _ratio(sm, total)</t>
        </is>
      </c>
    </row>
    <row r="1312">
      <c r="A1312" s="29" t="inlineStr">
        <is>
          <t xml:space="preserve">            v["SM_USD"] = sm if total else None</t>
        </is>
      </c>
    </row>
    <row r="1313">
      <c r="A1313" s="29" t="inlineStr">
        <is>
          <t xml:space="preserve">        quarters.append(QuarterRollup(period, tag,</t>
        </is>
      </c>
    </row>
    <row r="1314">
      <c r="A1314" s="29" t="inlineStr">
        <is>
          <t xml:space="preserve">                                      use[0].accession if use else "",</t>
        </is>
      </c>
    </row>
    <row r="1315">
      <c r="A1315" s="29" t="inlineStr">
        <is>
          <t xml:space="preserve">                                      v, annotated))</t>
        </is>
      </c>
    </row>
    <row r="1316">
      <c r="A1316" s="29" t="inlineStr"/>
    </row>
    <row r="1317">
      <c r="A1317" s="29" t="inlineStr">
        <is>
          <t xml:space="preserve">    # deltas off the newest-first series (pp; growth in %)</t>
        </is>
      </c>
    </row>
    <row r="1318">
      <c r="A1318" s="29" t="inlineStr">
        <is>
          <t xml:space="preserve">    for i, q in enumerate(quarters):</t>
        </is>
      </c>
    </row>
    <row r="1319">
      <c r="A1319" s="29" t="inlineStr">
        <is>
          <t xml:space="preserve">        r0 = q.values["CRIT_RATIO"]</t>
        </is>
      </c>
    </row>
    <row r="1320">
      <c r="A1320" s="29" t="inlineStr">
        <is>
          <t xml:space="preserve">        r1 = (quarters[i + 1].values["CRIT_RATIO"]</t>
        </is>
      </c>
    </row>
    <row r="1321">
      <c r="A1321" s="29" t="inlineStr">
        <is>
          <t xml:space="preserve">              if i + 1 &lt; len(quarters) else None)</t>
        </is>
      </c>
    </row>
    <row r="1322">
      <c r="A1322" s="29" t="inlineStr">
        <is>
          <t xml:space="preserve">        r4 = (quarters[i + 4].values["CRIT_RATIO"]</t>
        </is>
      </c>
    </row>
    <row r="1323">
      <c r="A1323" s="29" t="inlineStr">
        <is>
          <t xml:space="preserve">              if i + 4 &lt; len(quarters) else None)</t>
        </is>
      </c>
    </row>
    <row r="1324">
      <c r="A1324" s="29" t="inlineStr">
        <is>
          <t xml:space="preserve">        q.values["CRIT_QOQ"] = (None if r0 is None or r1 is None</t>
        </is>
      </c>
    </row>
    <row r="1325">
      <c r="A1325" s="29" t="inlineStr">
        <is>
          <t xml:space="preserve">                                else r0 - r1)</t>
        </is>
      </c>
    </row>
    <row r="1326">
      <c r="A1326" s="29" t="inlineStr">
        <is>
          <t xml:space="preserve">        q.values["CRIT_YOY"] = (None if r0 is None or r4 is None</t>
        </is>
      </c>
    </row>
    <row r="1327">
      <c r="A1327" s="29" t="inlineStr">
        <is>
          <t xml:space="preserve">                                else r0 - r4)</t>
        </is>
      </c>
    </row>
    <row r="1328">
      <c r="A1328" s="29" t="inlineStr">
        <is>
          <t xml:space="preserve">        c0 = q.values["CRIT_USD"]</t>
        </is>
      </c>
    </row>
    <row r="1329">
      <c r="A1329" s="29" t="inlineStr">
        <is>
          <t xml:space="preserve">        c1 = (quarters[i + 1].values["CRIT_USD"]</t>
        </is>
      </c>
    </row>
    <row r="1330">
      <c r="A1330" s="29" t="inlineStr">
        <is>
          <t xml:space="preserve">              if i + 1 &lt; len(quarters) else None)</t>
        </is>
      </c>
    </row>
    <row r="1331">
      <c r="A1331" s="29" t="inlineStr">
        <is>
          <t xml:space="preserve">        q.values["CRIT_GROWTH"] = (None if not c0 or not c1</t>
        </is>
      </c>
    </row>
    <row r="1332">
      <c r="A1332" s="29" t="inlineStr">
        <is>
          <t xml:space="preserve">                                   else (c0 / c1 - 1.0) * 100.0)</t>
        </is>
      </c>
    </row>
    <row r="1333">
      <c r="A1333" s="29" t="inlineStr">
        <is>
          <t xml:space="preserve">    return quarters, unmapped_members, unmapped_classes</t>
        </is>
      </c>
    </row>
    <row r="1334">
      <c r="A1334" s="29" t="inlineStr"/>
    </row>
    <row r="1335">
      <c r="A1335" s="29" t="inlineStr"/>
    </row>
    <row r="1336">
      <c r="A1336" s="29" t="inlineStr">
        <is>
          <t>def metric_rows_for_digest(slot: int, cik: str,</t>
        </is>
      </c>
    </row>
    <row r="1337">
      <c r="A1337" s="29" t="inlineStr">
        <is>
          <t xml:space="preserve">                           quarters: List[QuarterRollup]</t>
        </is>
      </c>
    </row>
    <row r="1338">
      <c r="A1338" s="29" t="inlineStr">
        <is>
          <t xml:space="preserve">                           ) -&gt; List[NormalizedRow]:</t>
        </is>
      </c>
    </row>
    <row r="1339">
      <c r="A1339" s="29" t="inlineStr">
        <is>
          <t xml:space="preserve">    """Contract sec 6 seam shape: canonical metric NormalizedRows."""</t>
        </is>
      </c>
    </row>
    <row r="1340">
      <c r="A1340" s="29" t="inlineStr">
        <is>
          <t xml:space="preserve">    rows = []</t>
        </is>
      </c>
    </row>
    <row r="1341">
      <c r="A1341" s="29" t="inlineStr">
        <is>
          <t xml:space="preserve">    for q in quarters:</t>
        </is>
      </c>
    </row>
    <row r="1342">
      <c r="A1342" s="29" t="inlineStr">
        <is>
          <t xml:space="preserve">        for spec in METRIC_SPECS:</t>
        </is>
      </c>
    </row>
    <row r="1343">
      <c r="A1343" s="29" t="inlineStr">
        <is>
          <t xml:space="preserve">            rows.append(NormalizedRow(</t>
        </is>
      </c>
    </row>
    <row r="1344">
      <c r="A1344" s="29" t="inlineStr">
        <is>
          <t xml:space="preserve">                id=f"s{slot:02d}_{spec.id}", period=q.period,</t>
        </is>
      </c>
    </row>
    <row r="1345">
      <c r="A1345" s="29" t="inlineStr">
        <is>
          <t xml:space="preserve">                value=q.values[spec.raw_col], geo_segment=f"cik:{cik}",</t>
        </is>
      </c>
    </row>
    <row r="1346">
      <c r="A1346" s="29" t="inlineStr">
        <is>
          <t xml:space="preserve">                source_class="A"))</t>
        </is>
      </c>
    </row>
    <row r="1347">
      <c r="A1347" s="29" t="inlineStr">
        <is>
          <t xml:space="preserve">    return rows</t>
        </is>
      </c>
    </row>
    <row r="1348">
      <c r="A1348" s="29" t="inlineStr"/>
    </row>
    <row r="1349">
      <c r="A1349" s="29" t="inlineStr"/>
    </row>
    <row r="1350">
      <c r="A1350" s="29" t="inlineStr">
        <is>
          <t># ---------------------------------------------------------------------------</t>
        </is>
      </c>
    </row>
    <row r="1351">
      <c r="A1351" s="29" t="inlineStr">
        <is>
          <t># RAW LAYOUT -- fixed anchors shared with the builder.</t>
        </is>
      </c>
    </row>
    <row r="1352">
      <c r="A1352" s="29" t="inlineStr">
        <is>
          <t># ---------------------------------------------------------------------------</t>
        </is>
      </c>
    </row>
    <row r="1353">
      <c r="A1353" s="29" t="inlineStr">
        <is>
          <t>@dataclass</t>
        </is>
      </c>
    </row>
    <row r="1354">
      <c r="A1354" s="29" t="inlineStr">
        <is>
          <t>class SlotBlock:</t>
        </is>
      </c>
    </row>
    <row r="1355">
      <c r="A1355" s="29" t="inlineStr">
        <is>
          <t xml:space="preserve">    slot: int</t>
        </is>
      </c>
    </row>
    <row r="1356">
      <c r="A1356" s="29" t="inlineStr">
        <is>
          <t xml:space="preserve">    header_row: int</t>
        </is>
      </c>
    </row>
    <row r="1357">
      <c r="A1357" s="29" t="inlineStr">
        <is>
          <t xml:space="preserve">    label_row: int</t>
        </is>
      </c>
    </row>
    <row r="1358">
      <c r="A1358" s="29" t="inlineStr">
        <is>
          <t xml:space="preserve">    first_data_row: int        # first canonical-metric quarter row</t>
        </is>
      </c>
    </row>
    <row r="1359">
      <c r="A1359" s="29" t="inlineStr">
        <is>
          <t xml:space="preserve">    facts_label_row: int</t>
        </is>
      </c>
    </row>
    <row r="1360">
      <c r="A1360" s="29" t="inlineStr">
        <is>
          <t xml:space="preserve">    first_fact_row: int</t>
        </is>
      </c>
    </row>
    <row r="1361">
      <c r="A1361" s="29" t="inlineStr">
        <is>
          <t xml:space="preserve">    events_label_row: int</t>
        </is>
      </c>
    </row>
    <row r="1362">
      <c r="A1362" s="29" t="inlineStr">
        <is>
          <t xml:space="preserve">    first_event_row: int</t>
        </is>
      </c>
    </row>
    <row r="1363">
      <c r="A1363" s="29" t="inlineStr">
        <is>
          <t xml:space="preserve">    slots: int                 # quarter rows (raw_slots)</t>
        </is>
      </c>
    </row>
    <row r="1364">
      <c r="A1364" s="29" t="inlineStr"/>
    </row>
    <row r="1365">
      <c r="A1365" s="29" t="inlineStr"/>
    </row>
    <row r="1366">
      <c r="A1366" s="29" t="inlineStr">
        <is>
          <t>def slot_stride(raw_slots: int) -&gt; int:</t>
        </is>
      </c>
    </row>
    <row r="1367">
      <c r="A1367" s="29" t="inlineStr">
        <is>
          <t xml:space="preserve">    return 2 + raw_slots + 1 + FACT_ROWS + 1 + EVENT_ROWS + 2</t>
        </is>
      </c>
    </row>
    <row r="1368">
      <c r="A1368" s="29" t="inlineStr"/>
    </row>
    <row r="1369">
      <c r="A1369" s="29" t="inlineStr"/>
    </row>
    <row r="1370">
      <c r="A1370" s="29" t="inlineStr">
        <is>
          <t>def slot_block(slot: int, raw_slots: int = RAW_SLOTS_DEFAULT) -&gt; SlotBlock:</t>
        </is>
      </c>
    </row>
    <row r="1371">
      <c r="A1371" s="29" t="inlineStr">
        <is>
          <t xml:space="preserve">    header_row = RAW_FIRST_ROW + (slot - 1) * slot_stride(raw_slots)</t>
        </is>
      </c>
    </row>
    <row r="1372">
      <c r="A1372" s="29" t="inlineStr">
        <is>
          <t xml:space="preserve">    label_row = header_row + 1</t>
        </is>
      </c>
    </row>
    <row r="1373">
      <c r="A1373" s="29" t="inlineStr">
        <is>
          <t xml:space="preserve">    first_data_row = label_row + 1</t>
        </is>
      </c>
    </row>
    <row r="1374">
      <c r="A1374" s="29" t="inlineStr">
        <is>
          <t xml:space="preserve">    facts_label_row = first_data_row + raw_slots</t>
        </is>
      </c>
    </row>
    <row r="1375">
      <c r="A1375" s="29" t="inlineStr">
        <is>
          <t xml:space="preserve">    first_fact_row = facts_label_row + 1</t>
        </is>
      </c>
    </row>
    <row r="1376">
      <c r="A1376" s="29" t="inlineStr">
        <is>
          <t xml:space="preserve">    events_label_row = first_fact_row + FACT_ROWS</t>
        </is>
      </c>
    </row>
    <row r="1377">
      <c r="A1377" s="29" t="inlineStr">
        <is>
          <t xml:space="preserve">    first_event_row = events_label_row + 1</t>
        </is>
      </c>
    </row>
    <row r="1378">
      <c r="A1378" s="29" t="inlineStr">
        <is>
          <t xml:space="preserve">    return SlotBlock(slot, header_row, label_row, first_data_row,</t>
        </is>
      </c>
    </row>
    <row r="1379">
      <c r="A1379" s="29" t="inlineStr">
        <is>
          <t xml:space="preserve">                     facts_label_row, first_fact_row, events_label_row,</t>
        </is>
      </c>
    </row>
    <row r="1380">
      <c r="A1380" s="29" t="inlineStr">
        <is>
          <t xml:space="preserve">                     first_event_row, raw_slots)</t>
        </is>
      </c>
    </row>
    <row r="1381">
      <c r="A1381" s="29" t="inlineStr"/>
    </row>
    <row r="1382">
      <c r="A1382" s="29" t="inlineStr"/>
    </row>
    <row r="1383">
      <c r="A1383" s="29" t="inlineStr">
        <is>
          <t># ---------------------------------------------------------------------------</t>
        </is>
      </c>
    </row>
    <row r="1384">
      <c r="A1384" s="29" t="inlineStr">
        <is>
          <t># WRITE BACKEND -- openpyxl on the closed workbook (contract sec 4 / L2)</t>
        </is>
      </c>
    </row>
    <row r="1385">
      <c r="A1385" s="29" t="inlineStr">
        <is>
          <t># ---------------------------------------------------------------------------</t>
        </is>
      </c>
    </row>
    <row r="1386">
      <c r="A1386" s="29" t="inlineStr">
        <is>
          <t>class OpenpyxlBackend:</t>
        </is>
      </c>
    </row>
    <row r="1387">
      <c r="A1387" s="29" t="inlineStr">
        <is>
          <t xml:space="preserve">    def __init__(self, path: str):</t>
        </is>
      </c>
    </row>
    <row r="1388">
      <c r="A1388" s="29" t="inlineStr">
        <is>
          <t xml:space="preserve">        self.path = path</t>
        </is>
      </c>
    </row>
    <row r="1389">
      <c r="A1389" s="29" t="inlineStr">
        <is>
          <t xml:space="preserve">        import openpyxl</t>
        </is>
      </c>
    </row>
    <row r="1390">
      <c r="A1390" s="29" t="inlineStr">
        <is>
          <t xml:space="preserve">        # L2: keep_vba=True ONLY for .xlsm.</t>
        </is>
      </c>
    </row>
    <row r="1391">
      <c r="A1391" s="29" t="inlineStr">
        <is>
          <t xml:space="preserve">        keep_vba = path.lower().endswith(".xlsm")</t>
        </is>
      </c>
    </row>
    <row r="1392">
      <c r="A1392" s="29" t="inlineStr">
        <is>
          <t xml:space="preserve">        self._wb = openpyxl.load_workbook(path, keep_vba=keep_vba)</t>
        </is>
      </c>
    </row>
    <row r="1393">
      <c r="A1393" s="29" t="inlineStr"/>
    </row>
    <row r="1394">
      <c r="A1394" s="29" t="inlineStr">
        <is>
          <t xml:space="preserve">    def read_config(self) -&gt; Config:</t>
        </is>
      </c>
    </row>
    <row r="1395">
      <c r="A1395" s="29" t="inlineStr">
        <is>
          <t xml:space="preserve">        ws = self._wb["_config"]</t>
        </is>
      </c>
    </row>
    <row r="1396">
      <c r="A1396" s="29" t="inlineStr">
        <is>
          <t xml:space="preserve">        return parse_config([[c.value for c in row] for row in ws.iter_rows()])</t>
        </is>
      </c>
    </row>
    <row r="1397">
      <c r="A1397" s="29" t="inlineStr"/>
    </row>
    <row r="1398">
      <c r="A1398" s="29" t="inlineStr">
        <is>
          <t xml:space="preserve">    def _check_slot(self, block: SlotBlock):</t>
        </is>
      </c>
    </row>
    <row r="1399">
      <c r="A1399" s="29" t="inlineStr">
        <is>
          <t xml:space="preserve">        """Refuse to write into a workbook whose raw layout doesn't match the</t>
        </is>
      </c>
    </row>
    <row r="1400">
      <c r="A1400" s="29" t="inlineStr">
        <is>
          <t xml:space="preserve">        computed one (raw_slots/peer_slots edited after build; formulas are</t>
        </is>
      </c>
    </row>
    <row r="1401">
      <c r="A1401" s="29" t="inlineStr">
        <is>
          <t xml:space="preserve">        anchored to the BUILT layout). The slot label is constant regardless</t>
        </is>
      </c>
    </row>
    <row r="1402">
      <c r="A1402" s="29" t="inlineStr">
        <is>
          <t xml:space="preserve">        of which bank occupies the slot, so [PEERS] edits never trip this."""</t>
        </is>
      </c>
    </row>
    <row r="1403">
      <c r="A1403" s="29" t="inlineStr">
        <is>
          <t xml:space="preserve">        ws = self._wb[RAW_TAB]</t>
        </is>
      </c>
    </row>
    <row r="1404">
      <c r="A1404" s="29" t="inlineStr">
        <is>
          <t xml:space="preserve">        existing = ws.cell(block.header_row, 1).value</t>
        </is>
      </c>
    </row>
    <row r="1405">
      <c r="A1405" s="29" t="inlineStr">
        <is>
          <t xml:space="preserve">        if existing is not None and str(existing).strip() not in (</t>
        </is>
      </c>
    </row>
    <row r="1406">
      <c r="A1406" s="29" t="inlineStr">
        <is>
          <t xml:space="preserve">                "", slot_label(block.slot)):</t>
        </is>
      </c>
    </row>
    <row r="1407">
      <c r="A1407" s="29" t="inlineStr">
        <is>
          <t xml:space="preserve">            raise RuntimeError(</t>
        </is>
      </c>
    </row>
    <row r="1408">
      <c r="A1408" s="29" t="inlineStr">
        <is>
          <t xml:space="preserve">                f"Raw layout mismatch in {RAW_TAB} at row {block.header_row}: "</t>
        </is>
      </c>
    </row>
    <row r="1409">
      <c r="A1409" s="29" t="inlineStr">
        <is>
          <t xml:space="preserve">                f"expected block '{slot_label(block.slot)}' but found "</t>
        </is>
      </c>
    </row>
    <row r="1410">
      <c r="A1410" s="29" t="inlineStr">
        <is>
          <t xml:space="preserve">                f"'{existing}'. The workbook was built with a different "</t>
        </is>
      </c>
    </row>
    <row r="1411">
      <c r="A1411" s="29" t="inlineStr">
        <is>
          <t xml:space="preserve">                f"raw_slots/peer_slots layout than _config now describes; "</t>
        </is>
      </c>
    </row>
    <row r="1412">
      <c r="A1412" s="29" t="inlineStr">
        <is>
          <t xml:space="preserve">                f"formulas are anchored to the built layout. Rebuild the "</t>
        </is>
      </c>
    </row>
    <row r="1413">
      <c r="A1413" s="29" t="inlineStr">
        <is>
          <t xml:space="preserve">                f"workbook (python make_workbook.py --peer-slots N) instead "</t>
        </is>
      </c>
    </row>
    <row r="1414">
      <c r="A1414" s="29" t="inlineStr">
        <is>
          <t xml:space="preserve">                f"of editing the layout settings in place.")</t>
        </is>
      </c>
    </row>
    <row r="1415">
      <c r="A1415" s="29" t="inlineStr">
        <is>
          <t xml:space="preserve">        lbl = ws.cell(block.label_row, metric_col(RAW_METRIC_COLS[-1])).value</t>
        </is>
      </c>
    </row>
    <row r="1416">
      <c r="A1416" s="29" t="inlineStr">
        <is>
          <t xml:space="preserve">        if str(lbl or "").strip() != RAW_METRIC_COLS[-1]:</t>
        </is>
      </c>
    </row>
    <row r="1417">
      <c r="A1417" s="29" t="inlineStr">
        <is>
          <t xml:space="preserve">            raise RuntimeError(</t>
        </is>
      </c>
    </row>
    <row r="1418">
      <c r="A1418" s="29" t="inlineStr">
        <is>
          <t xml:space="preserve">                f"Raw layout mismatch in {RAW_TAB}: block "</t>
        </is>
      </c>
    </row>
    <row r="1419">
      <c r="A1419" s="29" t="inlineStr">
        <is>
          <t xml:space="preserve">                f"'{slot_label(block.slot)}' does not label metric column "</t>
        </is>
      </c>
    </row>
    <row r="1420">
      <c r="A1420" s="29" t="inlineStr">
        <is>
          <t xml:space="preserve">                f"'{RAW_METRIC_COLS[-1]}' at column "</t>
        </is>
      </c>
    </row>
    <row r="1421">
      <c r="A1421" s="29" t="inlineStr">
        <is>
          <t xml:space="preserve">                f"{metric_col(RAW_METRIC_COLS[-1])} (found '{lbl}'). The "</t>
        </is>
      </c>
    </row>
    <row r="1422">
      <c r="A1422" s="29" t="inlineStr">
        <is>
          <t xml:space="preserve">                f"workbook was built by a different pack than this runner "</t>
        </is>
      </c>
    </row>
    <row r="1423">
      <c r="A1423" s="29" t="inlineStr">
        <is>
          <t xml:space="preserve">                f"(pack {PACK_VERSION}); rebuild it (python make_workbook.py) "</t>
        </is>
      </c>
    </row>
    <row r="1424">
      <c r="A1424" s="29" t="inlineStr">
        <is>
          <t xml:space="preserve">                f"or extract the matching runner from ITS OWN _code_py tab.")</t>
        </is>
      </c>
    </row>
    <row r="1425">
      <c r="A1425" s="29" t="inlineStr"/>
    </row>
    <row r="1426">
      <c r="A1426" s="29" t="inlineStr">
        <is>
          <t xml:space="preserve">    def clear_slot_block(self, block: SlotBlock):</t>
        </is>
      </c>
    </row>
    <row r="1427">
      <c r="A1427" s="29" t="inlineStr">
        <is>
          <t xml:space="preserve">        """Blank a slot's bank identity AND data (stateless full-replace,</t>
        </is>
      </c>
    </row>
    <row r="1428">
      <c r="A1428" s="29" t="inlineStr">
        <is>
          <t xml:space="preserve">        BUILD SPEC 0.2). NOTE (L7): openpyxl's ws.cell(r, c, None) silently</t>
        </is>
      </c>
    </row>
    <row r="1429">
      <c r="A1429" s="29" t="inlineStr">
        <is>
          <t xml:space="preserve">        IGNORES None -- cells are blanked ONLY by assigning .value."""</t>
        </is>
      </c>
    </row>
    <row r="1430">
      <c r="A1430" s="29" t="inlineStr">
        <is>
          <t xml:space="preserve">        self._check_slot(block)</t>
        </is>
      </c>
    </row>
    <row r="1431">
      <c r="A1431" s="29" t="inlineStr">
        <is>
          <t xml:space="preserve">        ws = self._wb[RAW_TAB]</t>
        </is>
      </c>
    </row>
    <row r="1432">
      <c r="A1432" s="29" t="inlineStr">
        <is>
          <t xml:space="preserve">        for c in (2, 3, 4, 5, 6):                # runtime identity cells</t>
        </is>
      </c>
    </row>
    <row r="1433">
      <c r="A1433" s="29" t="inlineStr">
        <is>
          <t xml:space="preserve">            ws.cell(block.header_row, c).value = None</t>
        </is>
      </c>
    </row>
    <row r="1434">
      <c r="A1434" s="29" t="inlineStr">
        <is>
          <t xml:space="preserve">        last_metric_col = 1 + len(RAW_METRIC_COLS)</t>
        </is>
      </c>
    </row>
    <row r="1435">
      <c r="A1435" s="29" t="inlineStr">
        <is>
          <t xml:space="preserve">        for r in range(block.first_data_row,</t>
        </is>
      </c>
    </row>
    <row r="1436">
      <c r="A1436" s="29" t="inlineStr">
        <is>
          <t xml:space="preserve">                       block.first_data_row + block.slots):</t>
        </is>
      </c>
    </row>
    <row r="1437">
      <c r="A1437" s="29" t="inlineStr">
        <is>
          <t xml:space="preserve">            for c in range(1, last_metric_col + 1):</t>
        </is>
      </c>
    </row>
    <row r="1438">
      <c r="A1438" s="29" t="inlineStr">
        <is>
          <t xml:space="preserve">                ws.cell(r, c).value = None</t>
        </is>
      </c>
    </row>
    <row r="1439">
      <c r="A1439" s="29" t="inlineStr">
        <is>
          <t xml:space="preserve">        for r in range(block.first_fact_row,</t>
        </is>
      </c>
    </row>
    <row r="1440">
      <c r="A1440" s="29" t="inlineStr">
        <is>
          <t xml:space="preserve">                       block.first_fact_row + FACT_ROWS):</t>
        </is>
      </c>
    </row>
    <row r="1441">
      <c r="A1441" s="29" t="inlineStr">
        <is>
          <t xml:space="preserve">            for c in range(1, len(FACT_COLS) + 1):</t>
        </is>
      </c>
    </row>
    <row r="1442">
      <c r="A1442" s="29" t="inlineStr">
        <is>
          <t xml:space="preserve">                ws.cell(r, c).value = None</t>
        </is>
      </c>
    </row>
    <row r="1443">
      <c r="A1443" s="29" t="inlineStr">
        <is>
          <t xml:space="preserve">        for r in range(block.first_event_row,</t>
        </is>
      </c>
    </row>
    <row r="1444">
      <c r="A1444" s="29" t="inlineStr">
        <is>
          <t xml:space="preserve">                       block.first_event_row + EVENT_ROWS):</t>
        </is>
      </c>
    </row>
    <row r="1445">
      <c r="A1445" s="29" t="inlineStr">
        <is>
          <t xml:space="preserve">            for c in range(1, len(EVENT_COLS) + 1):</t>
        </is>
      </c>
    </row>
    <row r="1446">
      <c r="A1446" s="29" t="inlineStr">
        <is>
          <t xml:space="preserve">                ws.cell(r, c).value = None</t>
        </is>
      </c>
    </row>
    <row r="1447">
      <c r="A1447" s="29" t="inlineStr"/>
    </row>
    <row r="1448">
      <c r="A1448" s="29" t="inlineStr">
        <is>
          <t xml:space="preserve">    def write_slot_block(self, block: SlotBlock, peer: PeerRow, family: str,</t>
        </is>
      </c>
    </row>
    <row r="1449">
      <c r="A1449" s="29" t="inlineStr">
        <is>
          <t xml:space="preserve">                         quarters: List[QuarterRollup],</t>
        </is>
      </c>
    </row>
    <row r="1450">
      <c r="A1450" s="29" t="inlineStr">
        <is>
          <t xml:space="preserve">                         events: List[Event]):</t>
        </is>
      </c>
    </row>
    <row r="1451">
      <c r="A1451" s="29" t="inlineStr">
        <is>
          <t xml:space="preserve">        self._check_slot(block)</t>
        </is>
      </c>
    </row>
    <row r="1452">
      <c r="A1452" s="29" t="inlineStr">
        <is>
          <t xml:space="preserve">        ws = self._wb[RAW_TAB]</t>
        </is>
      </c>
    </row>
    <row r="1453">
      <c r="A1453" s="29" t="inlineStr">
        <is>
          <t xml:space="preserve">        ws.cell(block.header_row, 1, slot_label(block.slot))</t>
        </is>
      </c>
    </row>
    <row r="1454">
      <c r="A1454" s="29" t="inlineStr">
        <is>
          <t xml:space="preserve">        ws.cell(block.header_row, 2, f"s{block.slot:02d} {peer.entity_key}")</t>
        </is>
      </c>
    </row>
    <row r="1455">
      <c r="A1455" s="29" t="inlineStr">
        <is>
          <t xml:space="preserve">        ws.cell(block.header_row, 3, peer.name)</t>
        </is>
      </c>
    </row>
    <row r="1456">
      <c r="A1456" s="29" t="inlineStr">
        <is>
          <t xml:space="preserve">        ws.cell(block.header_row, 4, family)</t>
        </is>
      </c>
    </row>
    <row r="1457">
      <c r="A1457" s="29" t="inlineStr">
        <is>
          <t xml:space="preserve">        latest_acc = quarters[0].accession if quarters else ""</t>
        </is>
      </c>
    </row>
    <row r="1458">
      <c r="A1458" s="29" t="inlineStr">
        <is>
          <t xml:space="preserve">        ws.cell(block.header_row, 5, latest_acc)</t>
        </is>
      </c>
    </row>
    <row r="1459">
      <c r="A1459" s="29" t="inlineStr">
        <is>
          <t xml:space="preserve">        ws.cell(block.header_row, 6, quarters[0].tag if quarters else "")</t>
        </is>
      </c>
    </row>
    <row r="1460">
      <c r="A1460" s="29" t="inlineStr">
        <is>
          <t xml:space="preserve">        # canonical metric rows, newest-first (dashboards read these)</t>
        </is>
      </c>
    </row>
    <row r="1461">
      <c r="A1461" s="29" t="inlineStr">
        <is>
          <t xml:space="preserve">        for i, q in enumerate(quarters[:block.slots]):</t>
        </is>
      </c>
    </row>
    <row r="1462">
      <c r="A1462" s="29" t="inlineStr">
        <is>
          <t xml:space="preserve">            r = block.first_data_row + i</t>
        </is>
      </c>
    </row>
    <row r="1463">
      <c r="A1463" s="29" t="inlineStr">
        <is>
          <t xml:space="preserve">            ws.cell(r, 1, q.period)</t>
        </is>
      </c>
    </row>
    <row r="1464">
      <c r="A1464" s="29" t="inlineStr">
        <is>
          <t xml:space="preserve">            for cname in RAW_METRIC_COLS:</t>
        </is>
      </c>
    </row>
    <row r="1465">
      <c r="A1465" s="29" t="inlineStr">
        <is>
          <t xml:space="preserve">                cell = ws.cell(r, metric_col(cname))</t>
        </is>
      </c>
    </row>
    <row r="1466">
      <c r="A1466" s="29" t="inlineStr">
        <is>
          <t xml:space="preserve">                if cname == "ACCESSION":</t>
        </is>
      </c>
    </row>
    <row r="1467">
      <c r="A1467" s="29" t="inlineStr">
        <is>
          <t xml:space="preserve">                    cell.value = q.accession</t>
        </is>
      </c>
    </row>
    <row r="1468">
      <c r="A1468" s="29" t="inlineStr">
        <is>
          <t xml:space="preserve">                elif cname == "TAG":</t>
        </is>
      </c>
    </row>
    <row r="1469">
      <c r="A1469" s="29" t="inlineStr">
        <is>
          <t xml:space="preserve">                    cell.value = q.tag</t>
        </is>
      </c>
    </row>
    <row r="1470">
      <c r="A1470" s="29" t="inlineStr">
        <is>
          <t xml:space="preserve">                else:</t>
        </is>
      </c>
    </row>
    <row r="1471">
      <c r="A1471" s="29" t="inlineStr">
        <is>
          <t xml:space="preserve">                    v = q.values.get(cname)</t>
        </is>
      </c>
    </row>
    <row r="1472">
      <c r="A1472" s="29" t="inlineStr">
        <is>
          <t xml:space="preserve">                    # L7: explicit .value assignment so None LANDS as blank</t>
        </is>
      </c>
    </row>
    <row r="1473">
      <c r="A1473" s="29" t="inlineStr">
        <is>
          <t xml:space="preserve">                    cell.value = None if v is None else float(v)</t>
        </is>
      </c>
    </row>
    <row r="1474">
      <c r="A1474" s="29" t="inlineStr">
        <is>
          <t xml:space="preserve">        # latest-quarter member facts (the audit trail)</t>
        </is>
      </c>
    </row>
    <row r="1475">
      <c r="A1475" s="29" t="inlineStr">
        <is>
          <t xml:space="preserve">        latest_facts = quarters[0].facts if quarters else []</t>
        </is>
      </c>
    </row>
    <row r="1476">
      <c r="A1476" s="29" t="inlineStr">
        <is>
          <t xml:space="preserve">        shown = latest_facts[:FACT_ROWS]</t>
        </is>
      </c>
    </row>
    <row r="1477">
      <c r="A1477" s="29" t="inlineStr">
        <is>
          <t xml:space="preserve">        for i, (f, klass, grade) in enumerate(shown):</t>
        </is>
      </c>
    </row>
    <row r="1478">
      <c r="A1478" s="29" t="inlineStr">
        <is>
          <t xml:space="preserve">            r = block.first_fact_row + i</t>
        </is>
      </c>
    </row>
    <row r="1479">
      <c r="A1479" s="29" t="inlineStr">
        <is>
          <t xml:space="preserve">            ws.cell(r, fact_col("period")).value = f.period</t>
        </is>
      </c>
    </row>
    <row r="1480">
      <c r="A1480" s="29" t="inlineStr">
        <is>
          <t xml:space="preserve">            ws.cell(r, fact_col("class_qname")).value = f.class_qname</t>
        </is>
      </c>
    </row>
    <row r="1481">
      <c r="A1481" s="29" t="inlineStr">
        <is>
          <t xml:space="preserve">            ws.cell(r, fact_col("class")).value = klass</t>
        </is>
      </c>
    </row>
    <row r="1482">
      <c r="A1482" s="29" t="inlineStr">
        <is>
          <t xml:space="preserve">            ws.cell(r, fact_col("member_qname")).value = f.grade_qname</t>
        </is>
      </c>
    </row>
    <row r="1483">
      <c r="A1483" s="29" t="inlineStr">
        <is>
          <t xml:space="preserve">            ws.cell(r, fact_col("grade")).value = grade</t>
        </is>
      </c>
    </row>
    <row r="1484">
      <c r="A1484" s="29" t="inlineStr">
        <is>
          <t xml:space="preserve">            ws.cell(r, fact_col("value_usd")).value = float(f.value)</t>
        </is>
      </c>
    </row>
    <row r="1485">
      <c r="A1485" s="29" t="inlineStr">
        <is>
          <t xml:space="preserve">            ws.cell(r, fact_col("tag")).value = f.tag</t>
        </is>
      </c>
    </row>
    <row r="1486">
      <c r="A1486" s="29" t="inlineStr">
        <is>
          <t xml:space="preserve">            ws.cell(r, fact_col("accession")).value = f.accession</t>
        </is>
      </c>
    </row>
    <row r="1487">
      <c r="A1487" s="29" t="inlineStr">
        <is>
          <t xml:space="preserve">        if len(latest_facts) &gt; FACT_ROWS:</t>
        </is>
      </c>
    </row>
    <row r="1488">
      <c r="A1488" s="29" t="inlineStr">
        <is>
          <t xml:space="preserve">            ws.cell(block.first_fact_row + FACT_ROWS - 1, 1,</t>
        </is>
      </c>
    </row>
    <row r="1489">
      <c r="A1489" s="29" t="inlineStr">
        <is>
          <t xml:space="preserve">                    f"(+{len(latest_facts) - FACT_ROWS + 1} more facts -- "</t>
        </is>
      </c>
    </row>
    <row r="1490">
      <c r="A1490" s="29" t="inlineStr">
        <is>
          <t xml:space="preserve">                    f"see --tieout)")</t>
        </is>
      </c>
    </row>
    <row r="1491">
      <c r="A1491" s="29" t="inlineStr">
        <is>
          <t xml:space="preserve">        # 8-K events, newest-first (already windowed to trailing 4 quarters)</t>
        </is>
      </c>
    </row>
    <row r="1492">
      <c r="A1492" s="29" t="inlineStr">
        <is>
          <t xml:space="preserve">        for i, e in enumerate(events[:EVENT_ROWS]):</t>
        </is>
      </c>
    </row>
    <row r="1493">
      <c r="A1493" s="29" t="inlineStr">
        <is>
          <t xml:space="preserve">            r = block.first_event_row + i</t>
        </is>
      </c>
    </row>
    <row r="1494">
      <c r="A1494" s="29" t="inlineStr">
        <is>
          <t xml:space="preserve">            ws.cell(r, event_col("date")).value = e.date</t>
        </is>
      </c>
    </row>
    <row r="1495">
      <c r="A1495" s="29" t="inlineStr">
        <is>
          <t xml:space="preserve">            ws.cell(r, event_col("item")).value = e.item</t>
        </is>
      </c>
    </row>
    <row r="1496">
      <c r="A1496" s="29" t="inlineStr">
        <is>
          <t xml:space="preserve">            ws.cell(r, event_col("form")).value = e.form</t>
        </is>
      </c>
    </row>
    <row r="1497">
      <c r="A1497" s="29" t="inlineStr">
        <is>
          <t xml:space="preserve">            ws.cell(r, event_col("accession")).value = e.accession</t>
        </is>
      </c>
    </row>
    <row r="1498">
      <c r="A1498" s="29" t="inlineStr">
        <is>
          <t xml:space="preserve">            ws.cell(r, event_col("url")).value = filing_dir_url(peer.cik,</t>
        </is>
      </c>
    </row>
    <row r="1499">
      <c r="A1499" s="29" t="inlineStr">
        <is>
          <t xml:space="preserve">                                                                e.accession)</t>
        </is>
      </c>
    </row>
    <row r="1500">
      <c r="A1500" s="29" t="inlineStr"/>
    </row>
    <row r="1501">
      <c r="A1501" s="29" t="inlineStr">
        <is>
          <t xml:space="preserve">    # -- [MEMBER_MAP]/[CLASS_MAP] bootstrap (contract sec 13) ----------------</t>
        </is>
      </c>
    </row>
    <row r="1502">
      <c r="A1502" s="29" t="inlineStr">
        <is>
          <t xml:space="preserve">    def _append_section_rows(self, section: str, rows: List[List],</t>
        </is>
      </c>
    </row>
    <row r="1503">
      <c r="A1503" s="29" t="inlineStr">
        <is>
          <t xml:space="preserve">                             ncols: int) -&gt; List[List]:</t>
        </is>
      </c>
    </row>
    <row r="1504">
      <c r="A1504" s="29" t="inlineStr">
        <is>
          <t xml:space="preserve">        """Write rows into the PROVISIONED blank rows of a _config section</t>
        </is>
      </c>
    </row>
    <row r="1505">
      <c r="A1505" s="29" t="inlineStr">
        <is>
          <t xml:space="preserve">        (never inserts -- inserting would shift every threshold/peer cell</t>
        </is>
      </c>
    </row>
    <row r="1506">
      <c r="A1506" s="29" t="inlineStr">
        <is>
          <t xml:space="preserve">        the dashboards reference). Returns rows that did NOT fit."""</t>
        </is>
      </c>
    </row>
    <row r="1507">
      <c r="A1507" s="29" t="inlineStr">
        <is>
          <t xml:space="preserve">        ws = self._wb["_config"]</t>
        </is>
      </c>
    </row>
    <row r="1508">
      <c r="A1508" s="29" t="inlineStr">
        <is>
          <t xml:space="preserve">        start = None</t>
        </is>
      </c>
    </row>
    <row r="1509">
      <c r="A1509" s="29" t="inlineStr">
        <is>
          <t xml:space="preserve">        for r in range(1, ws.max_row + 1):</t>
        </is>
      </c>
    </row>
    <row r="1510">
      <c r="A1510" s="29" t="inlineStr">
        <is>
          <t xml:space="preserve">            if str(ws.cell(r, 1).value or "").strip() == section:</t>
        </is>
      </c>
    </row>
    <row r="1511">
      <c r="A1511" s="29" t="inlineStr">
        <is>
          <t xml:space="preserve">                start = r + 1</t>
        </is>
      </c>
    </row>
    <row r="1512">
      <c r="A1512" s="29" t="inlineStr">
        <is>
          <t xml:space="preserve">                break</t>
        </is>
      </c>
    </row>
    <row r="1513">
      <c r="A1513" s="29" t="inlineStr">
        <is>
          <t xml:space="preserve">        if start is None:</t>
        </is>
      </c>
    </row>
    <row r="1514">
      <c r="A1514" s="29" t="inlineStr">
        <is>
          <t xml:space="preserve">            return rows</t>
        </is>
      </c>
    </row>
    <row r="1515">
      <c r="A1515" s="29" t="inlineStr">
        <is>
          <t xml:space="preserve">        blanks = []</t>
        </is>
      </c>
    </row>
    <row r="1516">
      <c r="A1516" s="29" t="inlineStr">
        <is>
          <t xml:space="preserve">        for r in range(start, ws.max_row + 1):</t>
        </is>
      </c>
    </row>
    <row r="1517">
      <c r="A1517" s="29" t="inlineStr">
        <is>
          <t xml:space="preserve">            a = ws.cell(r, 1).value</t>
        </is>
      </c>
    </row>
    <row r="1518">
      <c r="A1518" s="29" t="inlineStr">
        <is>
          <t xml:space="preserve">            s = str(a or "").strip()</t>
        </is>
      </c>
    </row>
    <row r="1519">
      <c r="A1519" s="29" t="inlineStr">
        <is>
          <t xml:space="preserve">            if s.startswith("[") and s.endswith("]"):</t>
        </is>
      </c>
    </row>
    <row r="1520">
      <c r="A1520" s="29" t="inlineStr">
        <is>
          <t xml:space="preserve">                break</t>
        </is>
      </c>
    </row>
    <row r="1521">
      <c r="A1521" s="29" t="inlineStr">
        <is>
          <t xml:space="preserve">            if a is None or s == "":</t>
        </is>
      </c>
    </row>
    <row r="1522">
      <c r="A1522" s="29" t="inlineStr">
        <is>
          <t xml:space="preserve">                blanks.append(r)</t>
        </is>
      </c>
    </row>
    <row r="1523">
      <c r="A1523" s="29" t="inlineStr">
        <is>
          <t xml:space="preserve">        existing = set()</t>
        </is>
      </c>
    </row>
    <row r="1524">
      <c r="A1524" s="29" t="inlineStr">
        <is>
          <t xml:space="preserve">        for r in range(start, ws.max_row + 1):</t>
        </is>
      </c>
    </row>
    <row r="1525">
      <c r="A1525" s="29" t="inlineStr">
        <is>
          <t xml:space="preserve">            s = str(ws.cell(r, 1).value or "").strip()</t>
        </is>
      </c>
    </row>
    <row r="1526">
      <c r="A1526" s="29" t="inlineStr">
        <is>
          <t xml:space="preserve">            if s.startswith("[") and s.endswith("]"):</t>
        </is>
      </c>
    </row>
    <row r="1527">
      <c r="A1527" s="29" t="inlineStr">
        <is>
          <t xml:space="preserve">                break</t>
        </is>
      </c>
    </row>
    <row r="1528">
      <c r="A1528" s="29" t="inlineStr">
        <is>
          <t xml:space="preserve">            key = tuple(str(ws.cell(r, c).value or "").strip()</t>
        </is>
      </c>
    </row>
    <row r="1529">
      <c r="A1529" s="29" t="inlineStr">
        <is>
          <t xml:space="preserve">                        for c in range(1, ncols + 1))</t>
        </is>
      </c>
    </row>
    <row r="1530">
      <c r="A1530" s="29" t="inlineStr">
        <is>
          <t xml:space="preserve">            existing.add(key)</t>
        </is>
      </c>
    </row>
    <row r="1531">
      <c r="A1531" s="29" t="inlineStr">
        <is>
          <t xml:space="preserve">        leftover = []</t>
        </is>
      </c>
    </row>
    <row r="1532">
      <c r="A1532" s="29" t="inlineStr">
        <is>
          <t xml:space="preserve">        for row in rows:</t>
        </is>
      </c>
    </row>
    <row r="1533">
      <c r="A1533" s="29" t="inlineStr">
        <is>
          <t xml:space="preserve">            key = tuple(str(v) for v in row)</t>
        </is>
      </c>
    </row>
    <row r="1534">
      <c r="A1534" s="29" t="inlineStr">
        <is>
          <t xml:space="preserve">            if key in existing:</t>
        </is>
      </c>
    </row>
    <row r="1535">
      <c r="A1535" s="29" t="inlineStr">
        <is>
          <t xml:space="preserve">                continue</t>
        </is>
      </c>
    </row>
    <row r="1536">
      <c r="A1536" s="29" t="inlineStr">
        <is>
          <t xml:space="preserve">            if not blanks:</t>
        </is>
      </c>
    </row>
    <row r="1537">
      <c r="A1537" s="29" t="inlineStr">
        <is>
          <t xml:space="preserve">                leftover.append(row)</t>
        </is>
      </c>
    </row>
    <row r="1538">
      <c r="A1538" s="29" t="inlineStr">
        <is>
          <t xml:space="preserve">                continue</t>
        </is>
      </c>
    </row>
    <row r="1539">
      <c r="A1539" s="29" t="inlineStr">
        <is>
          <t xml:space="preserve">            r = blanks.pop(0)</t>
        </is>
      </c>
    </row>
    <row r="1540">
      <c r="A1540" s="29" t="inlineStr">
        <is>
          <t xml:space="preserve">            for c, v in enumerate(row, start=1):</t>
        </is>
      </c>
    </row>
    <row r="1541">
      <c r="A1541" s="29" t="inlineStr">
        <is>
          <t xml:space="preserve">                ws.cell(r, c).value = v</t>
        </is>
      </c>
    </row>
    <row r="1542">
      <c r="A1542" s="29" t="inlineStr">
        <is>
          <t xml:space="preserve">            existing.add(key)</t>
        </is>
      </c>
    </row>
    <row r="1543">
      <c r="A1543" s="29" t="inlineStr">
        <is>
          <t xml:space="preserve">        return leftover</t>
        </is>
      </c>
    </row>
    <row r="1544">
      <c r="A1544" s="29" t="inlineStr"/>
    </row>
    <row r="1545">
      <c r="A1545" s="29" t="inlineStr">
        <is>
          <t xml:space="preserve">    def append_member_map(self, rows: List[List]) -&gt; List[List]:</t>
        </is>
      </c>
    </row>
    <row r="1546">
      <c r="A1546" s="29" t="inlineStr">
        <is>
          <t xml:space="preserve">        return self._append_section_rows("[MEMBER_MAP]", rows,</t>
        </is>
      </c>
    </row>
    <row r="1547">
      <c r="A1547" s="29" t="inlineStr">
        <is>
          <t xml:space="preserve">                                         len(MEMBER_MAP_HEADER))</t>
        </is>
      </c>
    </row>
    <row r="1548">
      <c r="A1548" s="29" t="inlineStr"/>
    </row>
    <row r="1549">
      <c r="A1549" s="29" t="inlineStr">
        <is>
          <t xml:space="preserve">    def append_class_map(self, rows: List[List]) -&gt; List[List]:</t>
        </is>
      </c>
    </row>
    <row r="1550">
      <c r="A1550" s="29" t="inlineStr">
        <is>
          <t xml:space="preserve">        return self._append_section_rows("[CLASS_MAP]", rows,</t>
        </is>
      </c>
    </row>
    <row r="1551">
      <c r="A1551" s="29" t="inlineStr">
        <is>
          <t xml:space="preserve">                                         len(CLASS_MAP_HEADER))</t>
        </is>
      </c>
    </row>
    <row r="1552">
      <c r="A1552" s="29" t="inlineStr"/>
    </row>
    <row r="1553">
      <c r="A1553" s="29" t="inlineStr">
        <is>
          <t xml:space="preserve">    def write_status(self, status: dict):</t>
        </is>
      </c>
    </row>
    <row r="1554">
      <c r="A1554" s="29" t="inlineStr">
        <is>
          <t xml:space="preserve">        line2 = (f"Banks {status.get('banks_landed', 0)}/"</t>
        </is>
      </c>
    </row>
    <row r="1555">
      <c r="A1555" s="29" t="inlineStr">
        <is>
          <t xml:space="preserve">                 f"{status.get('banks_active', 0)} - "</t>
        </is>
      </c>
    </row>
    <row r="1556">
      <c r="A1556" s="29" t="inlineStr">
        <is>
          <t xml:space="preserve">                 f"{status.get('alert_banks', 0)} ALERT / "</t>
        </is>
      </c>
    </row>
    <row r="1557">
      <c r="A1557" s="29" t="inlineStr">
        <is>
          <t xml:space="preserve">                 f"{status.get('watch_banks', 0)} WATCH / "</t>
        </is>
      </c>
    </row>
    <row r="1558">
      <c r="A1558" s="29" t="inlineStr">
        <is>
          <t xml:space="preserve">                 f"{status.get('stale_banks', 0)} STALE")</t>
        </is>
      </c>
    </row>
    <row r="1559">
      <c r="A1559" s="29" t="inlineStr">
        <is>
          <t xml:space="preserve">        n_ref = len(status.get("watchlist_refusals") or [])</t>
        </is>
      </c>
    </row>
    <row r="1560">
      <c r="A1560" s="29" t="inlineStr">
        <is>
          <t xml:space="preserve">        if n_ref:</t>
        </is>
      </c>
    </row>
    <row r="1561">
      <c r="A1561" s="29" t="inlineStr">
        <is>
          <t xml:space="preserve">            line2 += f" - {n_ref} REFUSED (see digest)"</t>
        </is>
      </c>
    </row>
    <row r="1562">
      <c r="A1562" s="29" t="inlineStr">
        <is>
          <t xml:space="preserve">        n_un = len(status.get("unmapped_members") or [])</t>
        </is>
      </c>
    </row>
    <row r="1563">
      <c r="A1563" s="29" t="inlineStr">
        <is>
          <t xml:space="preserve">        if n_un:</t>
        </is>
      </c>
    </row>
    <row r="1564">
      <c r="A1564" s="29" t="inlineStr">
        <is>
          <t xml:space="preserve">            line2 += f" - {n_un} UNMAPPED MEMBERS (see [MEMBER_MAP])"</t>
        </is>
      </c>
    </row>
    <row r="1565">
      <c r="A1565" s="29" t="inlineStr">
        <is>
          <t xml:space="preserve">        n_err = len(status.get("errors") or [])</t>
        </is>
      </c>
    </row>
    <row r="1566">
      <c r="A1566" s="29" t="inlineStr">
        <is>
          <t xml:space="preserve">        if n_err:</t>
        </is>
      </c>
    </row>
    <row r="1567">
      <c r="A1567" s="29" t="inlineStr">
        <is>
          <t xml:space="preserve">            line2 += f" - {n_err} FETCH ERRORS"</t>
        </is>
      </c>
    </row>
    <row r="1568">
      <c r="A1568" s="29" t="inlineStr">
        <is>
          <t xml:space="preserve">        line3 = (f"Vintage: {status.get('vintage') or 'n/a'} | latest "</t>
        </is>
      </c>
    </row>
    <row r="1569">
      <c r="A1569" s="29" t="inlineStr">
        <is>
          <t xml:space="preserve">                 f"accession: {status.get('latest_accession') or 'n/a'}")</t>
        </is>
      </c>
    </row>
    <row r="1570">
      <c r="A1570" s="29" t="inlineStr">
        <is>
          <t xml:space="preserve">        for tab in DASH_TABS:</t>
        </is>
      </c>
    </row>
    <row r="1571">
      <c r="A1571" s="29" t="inlineStr">
        <is>
          <t xml:space="preserve">            if tab in self._wb.sheetnames:</t>
        </is>
      </c>
    </row>
    <row r="1572">
      <c r="A1572" s="29" t="inlineStr">
        <is>
          <t xml:space="preserve">                ws = self._wb[tab]</t>
        </is>
      </c>
    </row>
    <row r="1573">
      <c r="A1573" s="29" t="inlineStr">
        <is>
          <t xml:space="preserve">                col = STATUS_COL_BY_TAB.get(tab, STATUS_COL)</t>
        </is>
      </c>
    </row>
    <row r="1574">
      <c r="A1574" s="29" t="inlineStr">
        <is>
          <t xml:space="preserve">                ws.cell(1, col, "Last run  " + status.get("timestamp", "")</t>
        </is>
      </c>
    </row>
    <row r="1575">
      <c r="A1575" s="29" t="inlineStr">
        <is>
          <t xml:space="preserve">                        + f" ({status.get('mode', '')})")</t>
        </is>
      </c>
    </row>
    <row r="1576">
      <c r="A1576" s="29" t="inlineStr">
        <is>
          <t xml:space="preserve">                ws.cell(2, col, line2)</t>
        </is>
      </c>
    </row>
    <row r="1577">
      <c r="A1577" s="29" t="inlineStr">
        <is>
          <t xml:space="preserve">                ws.cell(3, col, line3)</t>
        </is>
      </c>
    </row>
    <row r="1578">
      <c r="A1578" s="29" t="inlineStr"/>
    </row>
    <row r="1579">
      <c r="A1579" s="29" t="inlineStr">
        <is>
          <t xml:space="preserve">    def finalize(self):</t>
        </is>
      </c>
    </row>
    <row r="1580">
      <c r="A1580" s="29" t="inlineStr">
        <is>
          <t xml:space="preserve">        self._wb.save(self.path)</t>
        </is>
      </c>
    </row>
    <row r="1581">
      <c r="A1581" s="29" t="inlineStr"/>
    </row>
    <row r="1582">
      <c r="A1582" s="29" t="inlineStr"/>
    </row>
    <row r="1583">
      <c r="A1583" s="29" t="inlineStr">
        <is>
          <t># ---------------------------------------------------------------------------</t>
        </is>
      </c>
    </row>
    <row r="1584">
      <c r="A1584" s="29" t="inlineStr">
        <is>
          <t># ORCHESTRATION</t>
        </is>
      </c>
    </row>
    <row r="1585">
      <c r="A1585" s="29" t="inlineStr">
        <is>
          <t># ---------------------------------------------------------------------------</t>
        </is>
      </c>
    </row>
    <row r="1586">
      <c r="A1586" s="29" t="inlineStr">
        <is>
          <t>def _events_summary(events: List[Event]) -&gt; Dict[str, dict]:</t>
        </is>
      </c>
    </row>
    <row r="1587">
      <c r="A1587" s="29" t="inlineStr">
        <is>
          <t xml:space="preserve">    out: Dict[str, dict] = {}</t>
        </is>
      </c>
    </row>
    <row r="1588">
      <c r="A1588" s="29" t="inlineStr">
        <is>
          <t xml:space="preserve">    for e in events:</t>
        </is>
      </c>
    </row>
    <row r="1589">
      <c r="A1589" s="29" t="inlineStr">
        <is>
          <t xml:space="preserve">        d = out.setdefault(e.item, {"count": 0, "latest": "", "accessions": []})</t>
        </is>
      </c>
    </row>
    <row r="1590">
      <c r="A1590" s="29" t="inlineStr">
        <is>
          <t xml:space="preserve">        d["count"] += 1</t>
        </is>
      </c>
    </row>
    <row r="1591">
      <c r="A1591" s="29" t="inlineStr">
        <is>
          <t xml:space="preserve">        d["latest"] = max(d["latest"], e.date)</t>
        </is>
      </c>
    </row>
    <row r="1592">
      <c r="A1592" s="29" t="inlineStr">
        <is>
          <t xml:space="preserve">        d["accessions"].append(e.accession)</t>
        </is>
      </c>
    </row>
    <row r="1593">
      <c r="A1593" s="29" t="inlineStr">
        <is>
          <t xml:space="preserve">    return out</t>
        </is>
      </c>
    </row>
    <row r="1594">
      <c r="A1594" s="29" t="inlineStr"/>
    </row>
    <row r="1595">
      <c r="A1595" s="29" t="inlineStr"/>
    </row>
    <row r="1596">
      <c r="A1596" s="29" t="inlineStr">
        <is>
          <t>def compute_digest(cfg: Config,</t>
        </is>
      </c>
    </row>
    <row r="1597">
      <c r="A1597" s="29" t="inlineStr">
        <is>
          <t xml:space="preserve">                   landed: Dict[int, Tuple[PeerRow, str,</t>
        </is>
      </c>
    </row>
    <row r="1598">
      <c r="A1598" s="29" t="inlineStr">
        <is>
          <t xml:space="preserve">                                           List[QuarterRollup],</t>
        </is>
      </c>
    </row>
    <row r="1599">
      <c r="A1599" s="29" t="inlineStr">
        <is>
          <t xml:space="preserve">                                           List[Event], Set[str], Set[str]]]</t>
        </is>
      </c>
    </row>
    <row r="1600">
      <c r="A1600" s="29" t="inlineStr">
        <is>
          <t xml:space="preserve">                   ) -&gt; dict:</t>
        </is>
      </c>
    </row>
    <row r="1601">
      <c r="A1601" s="29" t="inlineStr">
        <is>
          <t xml:space="preserve">    """Per-bank latest-quarter metrics + statuses + the 8-K lane + staleness</t>
        </is>
      </c>
    </row>
    <row r="1602">
      <c r="A1602" s="29" t="inlineStr">
        <is>
          <t xml:space="preserve">    + the unmapped-member bootstrap feed. Statuses mirror the Watchlist</t>
        </is>
      </c>
    </row>
    <row r="1603">
      <c r="A1603" s="29" t="inlineStr">
        <is>
          <t xml:space="preserve">    formulas EXACTLY (parity-tested). NOTE the documented v1 divergence: the</t>
        </is>
      </c>
    </row>
    <row r="1604">
      <c r="A1604" s="29" t="inlineStr">
        <is>
          <t xml:space="preserve">    EXCEL median row includes stale banks' landed values; the digest median</t>
        </is>
      </c>
    </row>
    <row r="1605">
      <c r="A1605" s="29" t="inlineStr">
        <is>
          <t xml:space="preserve">    excludes them -- see _readme."""</t>
        </is>
      </c>
    </row>
    <row r="1606">
      <c r="A1606" s="29" t="inlineStr">
        <is>
          <t xml:space="preserve">    per_bank_latest: Dict[int, Optional[str]] = {}</t>
        </is>
      </c>
    </row>
    <row r="1607">
      <c r="A1607" s="29" t="inlineStr">
        <is>
          <t xml:space="preserve">    for slot, (peer, fam, quarters, events, um, uc) in landed.items():</t>
        </is>
      </c>
    </row>
    <row r="1608">
      <c r="A1608" s="29" t="inlineStr">
        <is>
          <t xml:space="preserve">        per_bank_latest[slot] = quarters[0].period if quarters else None</t>
        </is>
      </c>
    </row>
    <row r="1609">
      <c r="A1609" s="29" t="inlineStr">
        <is>
          <t xml:space="preserve">    set_max = max((p for p in per_bank_latest.values() if p), default=None)</t>
        </is>
      </c>
    </row>
    <row r="1610">
      <c r="A1610" s="29" t="inlineStr"/>
    </row>
    <row r="1611">
      <c r="A1611" s="29" t="inlineStr">
        <is>
          <t xml:space="preserve">    banks = []</t>
        </is>
      </c>
    </row>
    <row r="1612">
      <c r="A1612" s="29" t="inlineStr">
        <is>
          <t xml:space="preserve">    for slot in sorted(landed):</t>
        </is>
      </c>
    </row>
    <row r="1613">
      <c r="A1613" s="29" t="inlineStr">
        <is>
          <t xml:space="preserve">        peer, fam, quarters, events, um, uc = landed[slot]</t>
        </is>
      </c>
    </row>
    <row r="1614">
      <c r="A1614" s="29" t="inlineStr">
        <is>
          <t xml:space="preserve">        latest = quarters[0] if quarters else None</t>
        </is>
      </c>
    </row>
    <row r="1615">
      <c r="A1615" s="29" t="inlineStr">
        <is>
          <t xml:space="preserve">        stale = is_stale_bank(per_bank_latest[slot], set_max,</t>
        </is>
      </c>
    </row>
    <row r="1616">
      <c r="A1616" s="29" t="inlineStr">
        <is>
          <t xml:space="preserve">                              cfg.stale_multiplier)</t>
        </is>
      </c>
    </row>
    <row r="1617">
      <c r="A1617" s="29" t="inlineStr">
        <is>
          <t xml:space="preserve">        metrics = {}</t>
        </is>
      </c>
    </row>
    <row r="1618">
      <c r="A1618" s="29" t="inlineStr">
        <is>
          <t xml:space="preserve">        alert_n = watch_n = 0</t>
        </is>
      </c>
    </row>
    <row r="1619">
      <c r="A1619" s="29" t="inlineStr">
        <is>
          <t xml:space="preserve">        for spec in METRIC_SPECS:</t>
        </is>
      </c>
    </row>
    <row r="1620">
      <c r="A1620" s="29" t="inlineStr">
        <is>
          <t xml:space="preserve">            v = latest.values.get(spec.raw_col) if latest else None</t>
        </is>
      </c>
    </row>
    <row r="1621">
      <c r="A1621" s="29" t="inlineStr">
        <is>
          <t xml:space="preserve">            st = status_for(v, cfg.thresholds.get(spec.id)) \</t>
        </is>
      </c>
    </row>
    <row r="1622">
      <c r="A1622" s="29" t="inlineStr">
        <is>
          <t xml:space="preserve">                if spec.id in BANDED_METRICS else "OK"</t>
        </is>
      </c>
    </row>
    <row r="1623">
      <c r="A1623" s="29" t="inlineStr">
        <is>
          <t xml:space="preserve">            if v is None:</t>
        </is>
      </c>
    </row>
    <row r="1624">
      <c r="A1624" s="29" t="inlineStr">
        <is>
          <t xml:space="preserve">                st = ""                    # blank cell -&gt; blank status</t>
        </is>
      </c>
    </row>
    <row r="1625">
      <c r="A1625" s="29" t="inlineStr">
        <is>
          <t xml:space="preserve">            metrics[spec.id] = {"value": v, "status": st, "tier": spec.tier}</t>
        </is>
      </c>
    </row>
    <row r="1626">
      <c r="A1626" s="29" t="inlineStr">
        <is>
          <t xml:space="preserve">            if spec.id in BANDED_METRICS:</t>
        </is>
      </c>
    </row>
    <row r="1627">
      <c r="A1627" s="29" t="inlineStr">
        <is>
          <t xml:space="preserve">                if st == "ALERT":</t>
        </is>
      </c>
    </row>
    <row r="1628">
      <c r="A1628" s="29" t="inlineStr">
        <is>
          <t xml:space="preserve">                    alert_n += 1</t>
        </is>
      </c>
    </row>
    <row r="1629">
      <c r="A1629" s="29" t="inlineStr">
        <is>
          <t xml:space="preserve">                elif st == "WATCH":</t>
        </is>
      </c>
    </row>
    <row r="1630">
      <c r="A1630" s="29" t="inlineStr">
        <is>
          <t xml:space="preserve">                    watch_n += 1</t>
        </is>
      </c>
    </row>
    <row r="1631">
      <c r="A1631" s="29" t="inlineStr">
        <is>
          <t xml:space="preserve">        ev_sum = _events_summary(events)</t>
        </is>
      </c>
    </row>
    <row r="1632">
      <c r="A1632" s="29" t="inlineStr">
        <is>
          <t xml:space="preserve">        watch_8k = sum(ev_sum.get(i, {}).get("count", 0) for i in WATCH_ITEMS)</t>
        </is>
      </c>
    </row>
    <row r="1633">
      <c r="A1633" s="29" t="inlineStr">
        <is>
          <t xml:space="preserve">        notes = []</t>
        </is>
      </c>
    </row>
    <row r="1634">
      <c r="A1634" s="29" t="inlineStr">
        <is>
          <t xml:space="preserve">        if um:</t>
        </is>
      </c>
    </row>
    <row r="1635">
      <c r="A1635" s="29" t="inlineStr">
        <is>
          <t xml:space="preserve">            notes.append("UNMAPPED MEMBERS (needs manual mapping in "</t>
        </is>
      </c>
    </row>
    <row r="1636">
      <c r="A1636" s="29" t="inlineStr">
        <is>
          <t xml:space="preserve">                         "[MEMBER_MAP] -- never guessed): " + ", ".join(sorted(um)))</t>
        </is>
      </c>
    </row>
    <row r="1637">
      <c r="A1637" s="29" t="inlineStr">
        <is>
          <t xml:space="preserve">        if uc:</t>
        </is>
      </c>
    </row>
    <row r="1638">
      <c r="A1638" s="29" t="inlineStr">
        <is>
          <t xml:space="preserve">            notes.append("UNMAPPED CLASS MEMBERS (excluded from rollups "</t>
        </is>
      </c>
    </row>
    <row r="1639">
      <c r="A1639" s="29" t="inlineStr">
        <is>
          <t xml:space="preserve">                         "until mapped in [CLASS_MAP]): " + ", ".join(sorted(uc)))</t>
        </is>
      </c>
    </row>
    <row r="1640">
      <c r="A1640" s="29" t="inlineStr">
        <is>
          <t xml:space="preserve">        if fam == "criticized_only":</t>
        </is>
      </c>
    </row>
    <row r="1641">
      <c r="A1641" s="29" t="inlineStr">
        <is>
          <t xml:space="preserve">            notes.append("family=criticized_only: classified/SM ratios are "</t>
        </is>
      </c>
    </row>
    <row r="1642">
      <c r="A1642" s="29" t="inlineStr">
        <is>
          <t xml:space="preserve">                         "N/A (disclosure family) -- never approximated.")</t>
        </is>
      </c>
    </row>
    <row r="1643">
      <c r="A1643" s="29" t="inlineStr">
        <is>
          <t xml:space="preserve">        if fam == "ig_nig":</t>
        </is>
      </c>
    </row>
    <row r="1644">
      <c r="A1644" s="29" t="inlineStr">
        <is>
          <t xml:space="preserve">            notes.append("family=ig_nig: IG/NIG disclosure only -- "</t>
        </is>
      </c>
    </row>
    <row r="1645">
      <c r="A1645" s="29" t="inlineStr">
        <is>
          <t xml:space="preserve">                         "criticized metrics N/A; MD&amp;A text fallback is "</t>
        </is>
      </c>
    </row>
    <row r="1646">
      <c r="A1646" s="29" t="inlineStr">
        <is>
          <t xml:space="preserve">                         "v1.1 (see _readme).")</t>
        </is>
      </c>
    </row>
    <row r="1647">
      <c r="A1647" s="29" t="inlineStr">
        <is>
          <t xml:space="preserve">        if watch_8k:</t>
        </is>
      </c>
    </row>
    <row r="1648">
      <c r="A1648" s="29" t="inlineStr">
        <is>
          <t xml:space="preserve">            worst = [i for i in WATCH_ITEMS if i in ev_sum]</t>
        </is>
      </c>
    </row>
    <row r="1649">
      <c r="A1649" s="29" t="inlineStr">
        <is>
          <t xml:space="preserve">            notes.append("8-K credit event(s) " + ", ".join(</t>
        </is>
      </c>
    </row>
    <row r="1650">
      <c r="A1650" s="29" t="inlineStr">
        <is>
          <t xml:space="preserve">                f"item {i} ({ITEM_LABEL[i]}) latest {ev_sum[i]['latest']}"</t>
        </is>
      </c>
    </row>
    <row r="1651">
      <c r="A1651" s="29" t="inlineStr">
        <is>
          <t xml:space="preserve">                for i in worst) + " -- automatic WATCH flag.")</t>
        </is>
      </c>
    </row>
    <row r="1652">
      <c r="A1652" s="29" t="inlineStr">
        <is>
          <t xml:space="preserve">        if stale:</t>
        </is>
      </c>
    </row>
    <row r="1653">
      <c r="A1653" s="29" t="inlineStr">
        <is>
          <t xml:space="preserve">            notes.append(f"latest CQI quarter lags the peer-set max by more "</t>
        </is>
      </c>
    </row>
    <row r="1654">
      <c r="A1654" s="29" t="inlineStr">
        <is>
          <t xml:space="preserve">                         f"than {cfg.stale_multiplier:g} quarters -- check "</t>
        </is>
      </c>
    </row>
    <row r="1655">
      <c r="A1655" s="29" t="inlineStr">
        <is>
          <t xml:space="preserve">                         "submissions: late filer or delisted?")</t>
        </is>
      </c>
    </row>
    <row r="1656">
      <c r="A1656" s="29" t="inlineStr">
        <is>
          <t xml:space="preserve">        crit_capable = fam in ("grades_full", "criticized_only")</t>
        </is>
      </c>
    </row>
    <row r="1657">
      <c r="A1657" s="29" t="inlineStr">
        <is>
          <t xml:space="preserve">        if stale:</t>
        </is>
      </c>
    </row>
    <row r="1658">
      <c r="A1658" s="29" t="inlineStr">
        <is>
          <t xml:space="preserve">            status = "STALE"</t>
        </is>
      </c>
    </row>
    <row r="1659">
      <c r="A1659" s="29" t="inlineStr">
        <is>
          <t xml:space="preserve">        elif not crit_capable:</t>
        </is>
      </c>
    </row>
    <row r="1660">
      <c r="A1660" s="29" t="inlineStr">
        <is>
          <t xml:space="preserve">            status = "WATCH" if watch_8k &gt; 0 else "N/A"</t>
        </is>
      </c>
    </row>
    <row r="1661">
      <c r="A1661" s="29" t="inlineStr">
        <is>
          <t xml:space="preserve">        elif alert_n &gt; 0:</t>
        </is>
      </c>
    </row>
    <row r="1662">
      <c r="A1662" s="29" t="inlineStr">
        <is>
          <t xml:space="preserve">            status = "ALERT"</t>
        </is>
      </c>
    </row>
    <row r="1663">
      <c r="A1663" s="29" t="inlineStr">
        <is>
          <t xml:space="preserve">        elif watch_n &gt; 0 or watch_8k &gt; 0:</t>
        </is>
      </c>
    </row>
    <row r="1664">
      <c r="A1664" s="29" t="inlineStr">
        <is>
          <t xml:space="preserve">            status = "WATCH"</t>
        </is>
      </c>
    </row>
    <row r="1665">
      <c r="A1665" s="29" t="inlineStr">
        <is>
          <t xml:space="preserve">        else:</t>
        </is>
      </c>
    </row>
    <row r="1666">
      <c r="A1666" s="29" t="inlineStr">
        <is>
          <t xml:space="preserve">            status = "OK"</t>
        </is>
      </c>
    </row>
    <row r="1667">
      <c r="A1667" s="29" t="inlineStr">
        <is>
          <t xml:space="preserve">        banks.append({</t>
        </is>
      </c>
    </row>
    <row r="1668">
      <c r="A1668" s="29" t="inlineStr">
        <is>
          <t xml:space="preserve">            "slot": slot, "id_prefix": f"s{slot:02d}", "cik": peer.cik,</t>
        </is>
      </c>
    </row>
    <row r="1669">
      <c r="A1669" s="29" t="inlineStr">
        <is>
          <t xml:space="preserve">            "name": peer.name, "ticker": peer.ticker, "family": fam,</t>
        </is>
      </c>
    </row>
    <row r="1670">
      <c r="A1670" s="29" t="inlineStr">
        <is>
          <t xml:space="preserve">            "entity_key": peer.entity_key,</t>
        </is>
      </c>
    </row>
    <row r="1671">
      <c r="A1671" s="29" t="inlineStr">
        <is>
          <t xml:space="preserve">            "asof_period": per_bank_latest[slot],</t>
        </is>
      </c>
    </row>
    <row r="1672">
      <c r="A1672" s="29" t="inlineStr">
        <is>
          <t xml:space="preserve">            "latest_accession": latest.accession if latest else None,</t>
        </is>
      </c>
    </row>
    <row r="1673">
      <c r="A1673" s="29" t="inlineStr">
        <is>
          <t xml:space="preserve">            "tag": latest.tag if latest else None,</t>
        </is>
      </c>
    </row>
    <row r="1674">
      <c r="A1674" s="29" t="inlineStr">
        <is>
          <t xml:space="preserve">            "stale": stale, "status": status,</t>
        </is>
      </c>
    </row>
    <row r="1675">
      <c r="A1675" s="29" t="inlineStr">
        <is>
          <t xml:space="preserve">            "alert_count": alert_n, "watch_count": watch_n,</t>
        </is>
      </c>
    </row>
    <row r="1676">
      <c r="A1676" s="29" t="inlineStr">
        <is>
          <t xml:space="preserve">            "watch_8k": watch_8k, "events": ev_sum,</t>
        </is>
      </c>
    </row>
    <row r="1677">
      <c r="A1677" s="29" t="inlineStr">
        <is>
          <t xml:space="preserve">            "criticized_ratio": metrics["criticized_ratio"]["value"],</t>
        </is>
      </c>
    </row>
    <row r="1678">
      <c r="A1678" s="29" t="inlineStr">
        <is>
          <t xml:space="preserve">            "metrics": metrics,</t>
        </is>
      </c>
    </row>
    <row r="1679">
      <c r="A1679" s="29" t="inlineStr">
        <is>
          <t xml:space="preserve">            "unmapped_members": sorted(um),</t>
        </is>
      </c>
    </row>
    <row r="1680">
      <c r="A1680" s="29" t="inlineStr">
        <is>
          <t xml:space="preserve">            "unmapped_classes": sorted(uc),</t>
        </is>
      </c>
    </row>
    <row r="1681">
      <c r="A1681" s="29" t="inlineStr">
        <is>
          <t xml:space="preserve">            "notes": notes,</t>
        </is>
      </c>
    </row>
    <row r="1682">
      <c r="A1682" s="29" t="inlineStr">
        <is>
          <t xml:space="preserve">        })</t>
        </is>
      </c>
    </row>
    <row r="1683">
      <c r="A1683" s="29" t="inlineStr"/>
    </row>
    <row r="1684">
      <c r="A1684" s="29" t="inlineStr">
        <is>
          <t xml:space="preserve">    # digest peer medians: criticized-capable AND non-stale banks only</t>
        </is>
      </c>
    </row>
    <row r="1685">
      <c r="A1685" s="29" t="inlineStr">
        <is>
          <t xml:space="preserve">    fresh_capable = [b for b in banks if not b["stale"]</t>
        </is>
      </c>
    </row>
    <row r="1686">
      <c r="A1686" s="29" t="inlineStr">
        <is>
          <t xml:space="preserve">                     and b["family"] in ("grades_full", "criticized_only")]</t>
        </is>
      </c>
    </row>
    <row r="1687">
      <c r="A1687" s="29" t="inlineStr">
        <is>
          <t xml:space="preserve">    medians = {}</t>
        </is>
      </c>
    </row>
    <row r="1688">
      <c r="A1688" s="29" t="inlineStr">
        <is>
          <t xml:space="preserve">    for spec in METRIC_SPECS:</t>
        </is>
      </c>
    </row>
    <row r="1689">
      <c r="A1689" s="29" t="inlineStr">
        <is>
          <t xml:space="preserve">        vals = sorted(b["metrics"][spec.id]["value"] for b in fresh_capable</t>
        </is>
      </c>
    </row>
    <row r="1690">
      <c r="A1690" s="29" t="inlineStr">
        <is>
          <t xml:space="preserve">                      if b["metrics"][spec.id]["value"] is not None)</t>
        </is>
      </c>
    </row>
    <row r="1691">
      <c r="A1691" s="29" t="inlineStr">
        <is>
          <t xml:space="preserve">        if not vals:</t>
        </is>
      </c>
    </row>
    <row r="1692">
      <c r="A1692" s="29" t="inlineStr">
        <is>
          <t xml:space="preserve">            medians[spec.id] = None</t>
        </is>
      </c>
    </row>
    <row r="1693">
      <c r="A1693" s="29" t="inlineStr">
        <is>
          <t xml:space="preserve">        else:</t>
        </is>
      </c>
    </row>
    <row r="1694">
      <c r="A1694" s="29" t="inlineStr">
        <is>
          <t xml:space="preserve">            k = len(vals)</t>
        </is>
      </c>
    </row>
    <row r="1695">
      <c r="A1695" s="29" t="inlineStr">
        <is>
          <t xml:space="preserve">            medians[spec.id] = (vals[k // 2] if k % 2 else</t>
        </is>
      </c>
    </row>
    <row r="1696">
      <c r="A1696" s="29" t="inlineStr">
        <is>
          <t xml:space="preserve">                                (vals[k // 2 - 1] + vals[k // 2]) / 2.0)</t>
        </is>
      </c>
    </row>
    <row r="1697">
      <c r="A1697" s="29" t="inlineStr">
        <is>
          <t xml:space="preserve">    return {"banks": banks, "medians": medians, "set_max_period": set_max}</t>
        </is>
      </c>
    </row>
    <row r="1698">
      <c r="A1698" s="29" t="inlineStr"/>
    </row>
    <row r="1699">
      <c r="A1699" s="29" t="inlineStr"/>
    </row>
    <row r="1700">
      <c r="A1700" s="29" t="inlineStr">
        <is>
          <t>def run(workbook_path: str, demo: bool = False, asof: Optional[date] = None,</t>
        </is>
      </c>
    </row>
    <row r="1701">
      <c r="A1701" s="29" t="inlineStr">
        <is>
          <t xml:space="preserve">        provider: Optional[Provider] = None) -&gt; dict:</t>
        </is>
      </c>
    </row>
    <row r="1702">
      <c r="A1702" s="29" t="inlineStr">
        <is>
          <t xml:space="preserve">    """One refresh against the CLOSED workbook. `provider` is injectable for</t>
        </is>
      </c>
    </row>
    <row r="1703">
      <c r="A1703" s="29" t="inlineStr">
        <is>
          <t xml:space="preserve">    tests (e.g. the frozen-bank staleness regression)."""</t>
        </is>
      </c>
    </row>
    <row r="1704">
      <c r="A1704" s="29" t="inlineStr">
        <is>
          <t xml:space="preserve">    asof = asof or date.today()</t>
        </is>
      </c>
    </row>
    <row r="1705">
      <c r="A1705" s="29" t="inlineStr">
        <is>
          <t xml:space="preserve">    backend = OpenpyxlBackend(workbook_path)</t>
        </is>
      </c>
    </row>
    <row r="1706">
      <c r="A1706" s="29" t="inlineStr">
        <is>
          <t xml:space="preserve">    cfg = backend.read_config()</t>
        </is>
      </c>
    </row>
    <row r="1707">
      <c r="A1707" s="29" t="inlineStr"/>
    </row>
    <row r="1708">
      <c r="A1708" s="29" t="inlineStr">
        <is>
          <t xml:space="preserve">    # Hard gates BEFORE any fetch (BUILD SPEC 0.1 / sec 3).</t>
        </is>
      </c>
    </row>
    <row r="1709">
      <c r="A1709" s="29" t="inlineStr">
        <is>
          <t xml:space="preserve">    assert_metrics_admissible(METRIC_SPECS)</t>
        </is>
      </c>
    </row>
    <row r="1710">
      <c r="A1710" s="29" t="inlineStr">
        <is>
          <t xml:space="preserve">    validate_peer_capacity(cfg)</t>
        </is>
      </c>
    </row>
    <row r="1711">
      <c r="A1711" s="29" t="inlineStr">
        <is>
          <t xml:space="preserve">    admitted, refusals, excluded = evaluate_peers(cfg)</t>
        </is>
      </c>
    </row>
    <row r="1712">
      <c r="A1712" s="29" t="inlineStr"/>
    </row>
    <row r="1713">
      <c r="A1713" s="29" t="inlineStr">
        <is>
          <t xml:space="preserve">    if provider is None:</t>
        </is>
      </c>
    </row>
    <row r="1714">
      <c r="A1714" s="29" t="inlineStr">
        <is>
          <t xml:space="preserve">        provider = make_provider(cfg, demo, asof)   # fails fast on blank UA</t>
        </is>
      </c>
    </row>
    <row r="1715">
      <c r="A1715" s="29" t="inlineStr">
        <is>
          <t xml:space="preserve">    mode = "demo" if isinstance(provider, EdgarDemoProvider) else "live"</t>
        </is>
      </c>
    </row>
    <row r="1716">
      <c r="A1716" s="29" t="inlineStr"/>
    </row>
    <row r="1717">
      <c r="A1717" s="29" t="inlineStr">
        <is>
          <t xml:space="preserve">    # Stateless full-replace (BUILD SPEC 0.2): blank EVERY slot first --</t>
        </is>
      </c>
    </row>
    <row r="1718">
      <c r="A1718" s="29" t="inlineStr">
        <is>
          <t xml:space="preserve">    # deactivated/refused/emptied slots show blank under the fresh timestamp,</t>
        </is>
      </c>
    </row>
    <row r="1719">
      <c r="A1719" s="29" t="inlineStr">
        <is>
          <t xml:space="preserve">    # never last run's bank (L7). Also validates the raw layout up front.</t>
        </is>
      </c>
    </row>
    <row r="1720">
      <c r="A1720" s="29" t="inlineStr">
        <is>
          <t xml:space="preserve">    for slot in range(1, cfg.peer_slots + 1):</t>
        </is>
      </c>
    </row>
    <row r="1721">
      <c r="A1721" s="29" t="inlineStr">
        <is>
          <t xml:space="preserve">        backend.clear_slot_block(slot_block(slot, cfg.raw_slots))</t>
        </is>
      </c>
    </row>
    <row r="1722">
      <c r="A1722" s="29" t="inlineStr"/>
    </row>
    <row r="1723">
      <c r="A1723" s="29" t="inlineStr">
        <is>
          <t xml:space="preserve">    errors: List[str] = []</t>
        </is>
      </c>
    </row>
    <row r="1724">
      <c r="A1724" s="29" t="inlineStr">
        <is>
          <t xml:space="preserve">    landed: Dict[int, Tuple] = {}</t>
        </is>
      </c>
    </row>
    <row r="1725">
      <c r="A1725" s="29" t="inlineStr">
        <is>
          <t xml:space="preserve">    try:</t>
        </is>
      </c>
    </row>
    <row r="1726">
      <c r="A1726" s="29" t="inlineStr">
        <is>
          <t xml:space="preserve">        provider.prime([p.cik for p in admitted], asof,</t>
        </is>
      </c>
    </row>
    <row r="1727">
      <c r="A1727" s="29" t="inlineStr">
        <is>
          <t xml:space="preserve">                       names={p.cik: p.name for p in admitted})</t>
        </is>
      </c>
    </row>
    <row r="1728">
      <c r="A1728" s="29" t="inlineStr">
        <is>
          <t xml:space="preserve">    except Exception as exc:</t>
        </is>
      </c>
    </row>
    <row r="1729">
      <c r="A1729" s="29" t="inlineStr">
        <is>
          <t xml:space="preserve">        errors.append(f"prime: {exc}")</t>
        </is>
      </c>
    </row>
    <row r="1730">
      <c r="A1730" s="29" t="inlineStr">
        <is>
          <t xml:space="preserve">    else:</t>
        </is>
      </c>
    </row>
    <row r="1731">
      <c r="A1731" s="29" t="inlineStr">
        <is>
          <t xml:space="preserve">        errors.extend(getattr(provider, "errors", []) or [])</t>
        </is>
      </c>
    </row>
    <row r="1732">
      <c r="A1732" s="29" t="inlineStr">
        <is>
          <t xml:space="preserve">        for peer in admitted:</t>
        </is>
      </c>
    </row>
    <row r="1733">
      <c r="A1733" s="29" t="inlineStr">
        <is>
          <t xml:space="preserve">            try:</t>
        </is>
      </c>
    </row>
    <row r="1734">
      <c r="A1734" s="29" t="inlineStr">
        <is>
          <t xml:space="preserve">                facts = provider.fetch_facts(peer.cik)</t>
        </is>
      </c>
    </row>
    <row r="1735">
      <c r="A1735" s="29" t="inlineStr">
        <is>
          <t xml:space="preserve">                events = provider.fetch_events(peer.cik)</t>
        </is>
      </c>
    </row>
    <row r="1736">
      <c r="A1736" s="29" t="inlineStr">
        <is>
          <t xml:space="preserve">                quarters, um, uc = rollup_bank(peer.cik, facts, cfg)</t>
        </is>
      </c>
    </row>
    <row r="1737">
      <c r="A1737" s="29" t="inlineStr">
        <is>
          <t xml:space="preserve">            except Exception as exc:</t>
        </is>
      </c>
    </row>
    <row r="1738">
      <c r="A1738" s="29" t="inlineStr">
        <is>
          <t xml:space="preserve">                errors.append(f"s{peer.slot:02d} cik:{peer.cik}: {exc}")</t>
        </is>
      </c>
    </row>
    <row r="1739">
      <c r="A1739" s="29" t="inlineStr">
        <is>
          <t xml:space="preserve">                continue</t>
        </is>
      </c>
    </row>
    <row r="1740">
      <c r="A1740" s="29" t="inlineStr">
        <is>
          <t xml:space="preserve">            fam = cfg.family_of(peer.cik)</t>
        </is>
      </c>
    </row>
    <row r="1741">
      <c r="A1741" s="29" t="inlineStr">
        <is>
          <t xml:space="preserve">            backend.write_slot_block(slot_block(peer.slot, cfg.raw_slots),</t>
        </is>
      </c>
    </row>
    <row r="1742">
      <c r="A1742" s="29" t="inlineStr">
        <is>
          <t xml:space="preserve">                                     peer, fam, quarters, events)</t>
        </is>
      </c>
    </row>
    <row r="1743">
      <c r="A1743" s="29" t="inlineStr">
        <is>
          <t xml:space="preserve">            landed[peer.slot] = (peer, fam, quarters, events, um, uc)</t>
        </is>
      </c>
    </row>
    <row r="1744">
      <c r="A1744" s="29" t="inlineStr"/>
    </row>
    <row r="1745">
      <c r="A1745" s="29" t="inlineStr">
        <is>
          <t xml:space="preserve">    # bootstrap: append newly observed members/classes into the visible</t>
        </is>
      </c>
    </row>
    <row r="1746">
      <c r="A1746" s="29" t="inlineStr">
        <is>
          <t xml:space="preserve">    # _config sections as unmapped (never guessed -- contract sec 13)</t>
        </is>
      </c>
    </row>
    <row r="1747">
      <c r="A1747" s="29" t="inlineStr">
        <is>
          <t xml:space="preserve">    member_rows, class_rows = [], []</t>
        </is>
      </c>
    </row>
    <row r="1748">
      <c r="A1748" s="29" t="inlineStr">
        <is>
          <t xml:space="preserve">    for slot, (peer, fam, quarters, events, um, uc) in landed.items():</t>
        </is>
      </c>
    </row>
    <row r="1749">
      <c r="A1749" s="29" t="inlineStr">
        <is>
          <t xml:space="preserve">        for q in sorted(um):</t>
        </is>
      </c>
    </row>
    <row r="1750">
      <c r="A1750" s="29" t="inlineStr">
        <is>
          <t xml:space="preserve">            member_rows.append([peer.cik, fam, q, "unmapped"])</t>
        </is>
      </c>
    </row>
    <row r="1751">
      <c r="A1751" s="29" t="inlineStr">
        <is>
          <t xml:space="preserve">        for q in sorted(uc):</t>
        </is>
      </c>
    </row>
    <row r="1752">
      <c r="A1752" s="29" t="inlineStr">
        <is>
          <t xml:space="preserve">            class_rows.append([peer.cik, q, "unmapped"])</t>
        </is>
      </c>
    </row>
    <row r="1753">
      <c r="A1753" s="29" t="inlineStr">
        <is>
          <t xml:space="preserve">    left_m = backend.append_member_map(member_rows)</t>
        </is>
      </c>
    </row>
    <row r="1754">
      <c r="A1754" s="29" t="inlineStr">
        <is>
          <t xml:space="preserve">    left_c = backend.append_class_map(class_rows)</t>
        </is>
      </c>
    </row>
    <row r="1755">
      <c r="A1755" s="29" t="inlineStr">
        <is>
          <t xml:space="preserve">    if left_m or left_c:</t>
        </is>
      </c>
    </row>
    <row r="1756">
      <c r="A1756" s="29" t="inlineStr">
        <is>
          <t xml:space="preserve">        errors.append(f"[MEMBER_MAP]/[CLASS_MAP] bootstrap area full: "</t>
        </is>
      </c>
    </row>
    <row r="1757">
      <c r="A1757" s="29" t="inlineStr">
        <is>
          <t xml:space="preserve">                      f"{len(left_m) + len(left_c)} row(s) not written -- "</t>
        </is>
      </c>
    </row>
    <row r="1758">
      <c r="A1758" s="29" t="inlineStr">
        <is>
          <t xml:space="preserve">                      "rebuild the workbook (python make_workbook.py) for "</t>
        </is>
      </c>
    </row>
    <row r="1759">
      <c r="A1759" s="29" t="inlineStr">
        <is>
          <t xml:space="preserve">                      "more provisioned rows.")</t>
        </is>
      </c>
    </row>
    <row r="1760">
      <c r="A1760" s="29" t="inlineStr"/>
    </row>
    <row r="1761">
      <c r="A1761" s="29" t="inlineStr">
        <is>
          <t xml:space="preserve">    digest = compute_digest(cfg, landed)</t>
        </is>
      </c>
    </row>
    <row r="1762">
      <c r="A1762" s="29" t="inlineStr">
        <is>
          <t xml:space="preserve">    fresh = [b for b in digest["banks"] if not b["stale"]]</t>
        </is>
      </c>
    </row>
    <row r="1763">
      <c r="A1763" s="29" t="inlineStr">
        <is>
          <t xml:space="preserve">    all_unmapped = sorted({q for b in digest["banks"]</t>
        </is>
      </c>
    </row>
    <row r="1764">
      <c r="A1764" s="29" t="inlineStr">
        <is>
          <t xml:space="preserve">                           for q in b["unmapped_members"]})</t>
        </is>
      </c>
    </row>
    <row r="1765">
      <c r="A1765" s="29" t="inlineStr">
        <is>
          <t xml:space="preserve">    latest_acc = next((b["latest_accession"] for b in digest["banks"]</t>
        </is>
      </c>
    </row>
    <row r="1766">
      <c r="A1766" s="29" t="inlineStr">
        <is>
          <t xml:space="preserve">                       if b["latest_accession"]), None)</t>
        </is>
      </c>
    </row>
    <row r="1767">
      <c r="A1767" s="29" t="inlineStr">
        <is>
          <t xml:space="preserve">    status = {</t>
        </is>
      </c>
    </row>
    <row r="1768">
      <c r="A1768" s="29" t="inlineStr">
        <is>
          <t xml:space="preserve">        "timestamp": asof.isoformat(),</t>
        </is>
      </c>
    </row>
    <row r="1769">
      <c r="A1769" s="29" t="inlineStr">
        <is>
          <t xml:space="preserve">        "mode": mode,</t>
        </is>
      </c>
    </row>
    <row r="1770">
      <c r="A1770" s="29" t="inlineStr">
        <is>
          <t xml:space="preserve">        "pack_version": PACK_VERSION,</t>
        </is>
      </c>
    </row>
    <row r="1771">
      <c r="A1771" s="29" t="inlineStr">
        <is>
          <t xml:space="preserve">        "peer_slots": cfg.peer_slots,</t>
        </is>
      </c>
    </row>
    <row r="1772">
      <c r="A1772" s="29" t="inlineStr">
        <is>
          <t xml:space="preserve">        "banks_active": len(admitted) + len(refusals),</t>
        </is>
      </c>
    </row>
    <row r="1773">
      <c r="A1773" s="29" t="inlineStr">
        <is>
          <t xml:space="preserve">        "banks_landed": len(landed),</t>
        </is>
      </c>
    </row>
    <row r="1774">
      <c r="A1774" s="29" t="inlineStr">
        <is>
          <t xml:space="preserve">        "banks_excluded": len(excluded),</t>
        </is>
      </c>
    </row>
    <row r="1775">
      <c r="A1775" s="29" t="inlineStr">
        <is>
          <t xml:space="preserve">        "alert_banks": sum(1 for b in fresh if b["status"] == "ALERT"),</t>
        </is>
      </c>
    </row>
    <row r="1776">
      <c r="A1776" s="29" t="inlineStr">
        <is>
          <t xml:space="preserve">        "watch_banks": sum(1 for b in fresh if b["status"] == "WATCH"),</t>
        </is>
      </c>
    </row>
    <row r="1777">
      <c r="A1777" s="29" t="inlineStr">
        <is>
          <t xml:space="preserve">        "stale_banks": sum(1 for b in digest["banks"] if b["stale"]),</t>
        </is>
      </c>
    </row>
    <row r="1778">
      <c r="A1778" s="29" t="inlineStr">
        <is>
          <t xml:space="preserve">        "na_banks": sum(1 for b in fresh if b["status"] == "N/A"),</t>
        </is>
      </c>
    </row>
    <row r="1779">
      <c r="A1779" s="29" t="inlineStr">
        <is>
          <t xml:space="preserve">        "alert_flags": sum(b["alert_count"] for b in fresh),</t>
        </is>
      </c>
    </row>
    <row r="1780">
      <c r="A1780" s="29" t="inlineStr">
        <is>
          <t xml:space="preserve">        "watch_flags": sum(b["watch_count"] for b in fresh),</t>
        </is>
      </c>
    </row>
    <row r="1781">
      <c r="A1781" s="29" t="inlineStr">
        <is>
          <t xml:space="preserve">        "watch_8k_events": sum(b["watch_8k"] for b in fresh),</t>
        </is>
      </c>
    </row>
    <row r="1782">
      <c r="A1782" s="29" t="inlineStr">
        <is>
          <t xml:space="preserve">        "unmapped_members": all_unmapped,</t>
        </is>
      </c>
    </row>
    <row r="1783">
      <c r="A1783" s="29" t="inlineStr">
        <is>
          <t xml:space="preserve">        "latest_accession": latest_acc,</t>
        </is>
      </c>
    </row>
    <row r="1784">
      <c r="A1784" s="29" t="inlineStr">
        <is>
          <t xml:space="preserve">        "vintage": provider.vintage,</t>
        </is>
      </c>
    </row>
    <row r="1785">
      <c r="A1785" s="29" t="inlineStr">
        <is>
          <t xml:space="preserve">        "digest": digest,</t>
        </is>
      </c>
    </row>
    <row r="1786">
      <c r="A1786" s="29" t="inlineStr">
        <is>
          <t xml:space="preserve">        "watchlist_refusals": [m for _, m in refusals],</t>
        </is>
      </c>
    </row>
    <row r="1787">
      <c r="A1787" s="29" t="inlineStr">
        <is>
          <t xml:space="preserve">        "watchlist_admitted": [f"s{p.slot:02d} {p.entity_key}"</t>
        </is>
      </c>
    </row>
    <row r="1788">
      <c r="A1788" s="29" t="inlineStr">
        <is>
          <t xml:space="preserve">                               for p in admitted],</t>
        </is>
      </c>
    </row>
    <row r="1789">
      <c r="A1789" s="29" t="inlineStr">
        <is>
          <t xml:space="preserve">        "errors": errors[:25],</t>
        </is>
      </c>
    </row>
    <row r="1790">
      <c r="A1790" s="29" t="inlineStr">
        <is>
          <t xml:space="preserve">    }</t>
        </is>
      </c>
    </row>
    <row r="1791">
      <c r="A1791" s="29" t="inlineStr">
        <is>
          <t xml:space="preserve">    backend.write_status(status)</t>
        </is>
      </c>
    </row>
    <row r="1792">
      <c r="A1792" s="29" t="inlineStr">
        <is>
          <t xml:space="preserve">    backend.finalize()</t>
        </is>
      </c>
    </row>
    <row r="1793">
      <c r="A1793" s="29" t="inlineStr">
        <is>
          <t xml:space="preserve">    return status</t>
        </is>
      </c>
    </row>
    <row r="1794">
      <c r="A1794" s="29" t="inlineStr"/>
    </row>
    <row r="1795">
      <c r="A1795" s="29" t="inlineStr"/>
    </row>
    <row r="1796">
      <c r="A1796" s="29" t="inlineStr">
        <is>
          <t># ---------------------------------------------------------------------------</t>
        </is>
      </c>
    </row>
    <row r="1797">
      <c r="A1797" s="29" t="inlineStr">
        <is>
          <t># TIE-OUT MODE (contract sec 12) -- verify the feed against the OFFICIAL</t>
        </is>
      </c>
    </row>
    <row r="1798">
      <c r="A1798" s="29" t="inlineStr">
        <is>
          <t># record: for one bank(-quarter), print each metric's value + tag/axis + the</t>
        </is>
      </c>
    </row>
    <row r="1799">
      <c r="A1799" s="29" t="inlineStr">
        <is>
          <t># member-level breakdown + accession + the EDGAR viewer URLs.</t>
        </is>
      </c>
    </row>
    <row r="1800">
      <c r="A1800" s="29" t="inlineStr">
        <is>
          <t># ---------------------------------------------------------------------------</t>
        </is>
      </c>
    </row>
    <row r="1801">
      <c r="A1801" s="29" t="inlineStr">
        <is>
          <t>def read_provenance_rows(wb) -&gt; Dict[str, dict]:</t>
        </is>
      </c>
    </row>
    <row r="1802">
      <c r="A1802" s="29" t="inlineStr">
        <is>
          <t xml:space="preserve">    if "_provenance" not in wb.sheetnames:</t>
        </is>
      </c>
    </row>
    <row r="1803">
      <c r="A1803" s="29" t="inlineStr">
        <is>
          <t xml:space="preserve">        return {}</t>
        </is>
      </c>
    </row>
    <row r="1804">
      <c r="A1804" s="29" t="inlineStr">
        <is>
          <t xml:space="preserve">    ws = wb["_provenance"]</t>
        </is>
      </c>
    </row>
    <row r="1805">
      <c r="A1805" s="29" t="inlineStr">
        <is>
          <t xml:space="preserve">    rows: Dict[str, dict] = {}</t>
        </is>
      </c>
    </row>
    <row r="1806">
      <c r="A1806" s="29" t="inlineStr">
        <is>
          <t xml:space="preserve">    in_table = False</t>
        </is>
      </c>
    </row>
    <row r="1807">
      <c r="A1807" s="29" t="inlineStr">
        <is>
          <t xml:space="preserve">    for row in ws.iter_rows(values_only=True):</t>
        </is>
      </c>
    </row>
    <row r="1808">
      <c r="A1808" s="29" t="inlineStr">
        <is>
          <t xml:space="preserve">        a = ("" if not row or row[0] is None else str(row[0])).strip()</t>
        </is>
      </c>
    </row>
    <row r="1809">
      <c r="A1809" s="29" t="inlineStr">
        <is>
          <t xml:space="preserve">        if a.lower() == "metric":</t>
        </is>
      </c>
    </row>
    <row r="1810">
      <c r="A1810" s="29" t="inlineStr">
        <is>
          <t xml:space="preserve">            in_table = True</t>
        </is>
      </c>
    </row>
    <row r="1811">
      <c r="A1811" s="29" t="inlineStr">
        <is>
          <t xml:space="preserve">            continue</t>
        </is>
      </c>
    </row>
    <row r="1812">
      <c r="A1812" s="29" t="inlineStr">
        <is>
          <t xml:space="preserve">        if not in_table or not a or a.startswith("#") or a.startswith("["):</t>
        </is>
      </c>
    </row>
    <row r="1813">
      <c r="A1813" s="29" t="inlineStr">
        <is>
          <t xml:space="preserve">            continue</t>
        </is>
      </c>
    </row>
    <row r="1814">
      <c r="A1814" s="29" t="inlineStr">
        <is>
          <t xml:space="preserve">        cells = [("" if i &gt;= len(row) or row[i] is None else str(row[i]))</t>
        </is>
      </c>
    </row>
    <row r="1815">
      <c r="A1815" s="29" t="inlineStr">
        <is>
          <t xml:space="preserve">                 for i in range(6)]</t>
        </is>
      </c>
    </row>
    <row r="1816">
      <c r="A1816" s="29" t="inlineStr">
        <is>
          <t xml:space="preserve">        rows[a] = {"metric": cells[0], "source": cells[1], "tag": cells[2],</t>
        </is>
      </c>
    </row>
    <row r="1817">
      <c r="A1817" s="29" t="inlineStr">
        <is>
          <t xml:space="preserve">                   "accession": cells[3], "flag": cells[4], "notes": cells[5]}</t>
        </is>
      </c>
    </row>
    <row r="1818">
      <c r="A1818" s="29" t="inlineStr">
        <is>
          <t xml:space="preserve">    return rows</t>
        </is>
      </c>
    </row>
    <row r="1819">
      <c r="A1819" s="29" t="inlineStr"/>
    </row>
    <row r="1820">
      <c r="A1820" s="29" t="inlineStr"/>
    </row>
    <row r="1821">
      <c r="A1821" s="29" t="inlineStr">
        <is>
          <t>def _parse_quarter_arg(arg: str) -&gt; str:</t>
        </is>
      </c>
    </row>
    <row r="1822">
      <c r="A1822" s="29" t="inlineStr">
        <is>
          <t xml:space="preserve">    """Accept 2026-03-31 or 2026Q1 -&gt; ISO quarter end."""</t>
        </is>
      </c>
    </row>
    <row r="1823">
      <c r="A1823" s="29" t="inlineStr">
        <is>
          <t xml:space="preserve">    a = str(arg).strip().upper()</t>
        </is>
      </c>
    </row>
    <row r="1824">
      <c r="A1824" s="29" t="inlineStr">
        <is>
          <t xml:space="preserve">    m = re.match(r"^(\d{4})Q([1-4])$", a)</t>
        </is>
      </c>
    </row>
    <row r="1825">
      <c r="A1825" s="29" t="inlineStr">
        <is>
          <t xml:space="preserve">    if m:</t>
        </is>
      </c>
    </row>
    <row r="1826">
      <c r="A1826" s="29" t="inlineStr">
        <is>
          <t xml:space="preserve">        p = pd.Period(f"{m.group(1)}Q{m.group(2)}", freq="Q")</t>
        </is>
      </c>
    </row>
    <row r="1827">
      <c r="A1827" s="29" t="inlineStr">
        <is>
          <t xml:space="preserve">        return p.to_timestamp(how="end").date().isoformat()</t>
        </is>
      </c>
    </row>
    <row r="1828">
      <c r="A1828" s="29" t="inlineStr">
        <is>
          <t xml:space="preserve">    return a[:10]</t>
        </is>
      </c>
    </row>
    <row r="1829">
      <c r="A1829" s="29" t="inlineStr"/>
    </row>
    <row r="1830">
      <c r="A1830" s="29" t="inlineStr"/>
    </row>
    <row r="1831">
      <c r="A1831" s="29" t="inlineStr">
        <is>
          <t>def do_tieout(workbook: str, args: List[str], demo: bool) -&gt; int:</t>
        </is>
      </c>
    </row>
    <row r="1832">
      <c r="A1832" s="29" t="inlineStr">
        <is>
          <t xml:space="preserve">    """`--tieout CIK [quarter]`: value + tag + member breakdown + accession +</t>
        </is>
      </c>
    </row>
    <row r="1833">
      <c r="A1833" s="29" t="inlineStr">
        <is>
          <t xml:space="preserve">    the https://www.sec.gov/Archives/edgar/data/{cik}/{accession}/ URL.</t>
        </is>
      </c>
    </row>
    <row r="1834">
      <c r="A1834" s="29" t="inlineStr">
        <is>
          <t xml:space="preserve">    Works with --demo (values labeled loudly as demo fiction)."""</t>
        </is>
      </c>
    </row>
    <row r="1835">
      <c r="A1835" s="29" t="inlineStr">
        <is>
          <t xml:space="preserve">    import openpyxl</t>
        </is>
      </c>
    </row>
    <row r="1836">
      <c r="A1836" s="29" t="inlineStr">
        <is>
          <t xml:space="preserve">    cik = _norm_cik(args[0])</t>
        </is>
      </c>
    </row>
    <row r="1837">
      <c r="A1837" s="29" t="inlineStr">
        <is>
          <t xml:space="preserve">    quarter = _parse_quarter_arg(args[1]) if len(args) &gt; 1 else None</t>
        </is>
      </c>
    </row>
    <row r="1838">
      <c r="A1838" s="29" t="inlineStr">
        <is>
          <t xml:space="preserve">    if not re.match(ENTITY_KEY_PATTERN, f"cik:{cik}"):</t>
        </is>
      </c>
    </row>
    <row r="1839">
      <c r="A1839" s="29" t="inlineStr">
        <is>
          <t xml:space="preserve">        sys.stderr.write(f"--tieout: '{args[0]}' is not a valid SEC CIK "</t>
        </is>
      </c>
    </row>
    <row r="1840">
      <c r="A1840" s="29" t="inlineStr">
        <is>
          <t xml:space="preserve">                         "(digits only). Find one with: python runner.py "</t>
        </is>
      </c>
    </row>
    <row r="1841">
      <c r="A1841" s="29" t="inlineStr">
        <is>
          <t xml:space="preserve">                         "--lookup \"&lt;company name&gt;\".\n")</t>
        </is>
      </c>
    </row>
    <row r="1842">
      <c r="A1842" s="29" t="inlineStr">
        <is>
          <t xml:space="preserve">        return 2</t>
        </is>
      </c>
    </row>
    <row r="1843">
      <c r="A1843" s="29" t="inlineStr">
        <is>
          <t xml:space="preserve">    wb = openpyxl.load_workbook(workbook, read_only=True, data_only=False)</t>
        </is>
      </c>
    </row>
    <row r="1844">
      <c r="A1844" s="29" t="inlineStr">
        <is>
          <t xml:space="preserve">    try:</t>
        </is>
      </c>
    </row>
    <row r="1845">
      <c r="A1845" s="29" t="inlineStr">
        <is>
          <t xml:space="preserve">        ws = wb["_config"]</t>
        </is>
      </c>
    </row>
    <row r="1846">
      <c r="A1846" s="29" t="inlineStr">
        <is>
          <t xml:space="preserve">        cfg = parse_config([[c for c in row]</t>
        </is>
      </c>
    </row>
    <row r="1847">
      <c r="A1847" s="29" t="inlineStr">
        <is>
          <t xml:space="preserve">                            for row in ws.iter_rows(values_only=True)])</t>
        </is>
      </c>
    </row>
    <row r="1848">
      <c r="A1848" s="29" t="inlineStr">
        <is>
          <t xml:space="preserve">        prov_rows = read_provenance_rows(wb)</t>
        </is>
      </c>
    </row>
    <row r="1849">
      <c r="A1849" s="29" t="inlineStr">
        <is>
          <t xml:space="preserve">    finally:</t>
        </is>
      </c>
    </row>
    <row r="1850">
      <c r="A1850" s="29" t="inlineStr">
        <is>
          <t xml:space="preserve">        wb.close()</t>
        </is>
      </c>
    </row>
    <row r="1851">
      <c r="A1851" s="29" t="inlineStr">
        <is>
          <t xml:space="preserve">    if not prov_rows:</t>
        </is>
      </c>
    </row>
    <row r="1852">
      <c r="A1852" s="29" t="inlineStr">
        <is>
          <t xml:space="preserve">        sys.stderr.write("--tieout: this workbook has no _provenance tab -- "</t>
        </is>
      </c>
    </row>
    <row r="1853">
      <c r="A1853" s="29" t="inlineStr">
        <is>
          <t xml:space="preserve">                         "rebuild it (python make_workbook.py).\n")</t>
        </is>
      </c>
    </row>
    <row r="1854">
      <c r="A1854" s="29" t="inlineStr">
        <is>
          <t xml:space="preserve">        return 1</t>
        </is>
      </c>
    </row>
    <row r="1855">
      <c r="A1855" s="29" t="inlineStr">
        <is>
          <t xml:space="preserve">    try:</t>
        </is>
      </c>
    </row>
    <row r="1856">
      <c r="A1856" s="29" t="inlineStr">
        <is>
          <t xml:space="preserve">        provider = make_provider(cfg, demo, None)</t>
        </is>
      </c>
    </row>
    <row r="1857">
      <c r="A1857" s="29" t="inlineStr">
        <is>
          <t xml:space="preserve">    except UserAgentMissing as exc:</t>
        </is>
      </c>
    </row>
    <row r="1858">
      <c r="A1858" s="29" t="inlineStr">
        <is>
          <t xml:space="preserve">        sys.stderr.write(f"--tieout: {exc}\n")</t>
        </is>
      </c>
    </row>
    <row r="1859">
      <c r="A1859" s="29" t="inlineStr">
        <is>
          <t xml:space="preserve">        return 3</t>
        </is>
      </c>
    </row>
    <row r="1860">
      <c r="A1860" s="29" t="inlineStr">
        <is>
          <t xml:space="preserve">    mode = "demo" if isinstance(provider, EdgarDemoProvider) else "live"</t>
        </is>
      </c>
    </row>
    <row r="1861">
      <c r="A1861" s="29" t="inlineStr">
        <is>
          <t xml:space="preserve">    try:</t>
        </is>
      </c>
    </row>
    <row r="1862">
      <c r="A1862" s="29" t="inlineStr">
        <is>
          <t xml:space="preserve">        provider.prime([cik], date.today(), names={cik: f"cik:{cik}"})</t>
        </is>
      </c>
    </row>
    <row r="1863">
      <c r="A1863" s="29" t="inlineStr">
        <is>
          <t xml:space="preserve">        facts = provider.fetch_facts(cik)</t>
        </is>
      </c>
    </row>
    <row r="1864">
      <c r="A1864" s="29" t="inlineStr">
        <is>
          <t xml:space="preserve">        events = provider.fetch_events(cik)</t>
        </is>
      </c>
    </row>
    <row r="1865">
      <c r="A1865" s="29" t="inlineStr">
        <is>
          <t xml:space="preserve">    except Exception as exc:</t>
        </is>
      </c>
    </row>
    <row r="1866">
      <c r="A1866" s="29" t="inlineStr">
        <is>
          <t xml:space="preserve">        sys.stderr.write(f"--tieout fetch failed for cik {cik}: {exc}\n")</t>
        </is>
      </c>
    </row>
    <row r="1867">
      <c r="A1867" s="29" t="inlineStr">
        <is>
          <t xml:space="preserve">        return 1</t>
        </is>
      </c>
    </row>
    <row r="1868">
      <c r="A1868" s="29" t="inlineStr">
        <is>
          <t xml:space="preserve">    quarters, um, uc = rollup_bank(cik, facts, cfg)</t>
        </is>
      </c>
    </row>
    <row r="1869">
      <c r="A1869" s="29" t="inlineStr">
        <is>
          <t xml:space="preserve">    if not quarters:</t>
        </is>
      </c>
    </row>
    <row r="1870">
      <c r="A1870" s="29" t="inlineStr">
        <is>
          <t xml:space="preserve">        sys.stderr.write(f"--tieout: no CQI quarters returned for cik "</t>
        </is>
      </c>
    </row>
    <row r="1871">
      <c r="A1871" s="29" t="inlineStr">
        <is>
          <t xml:space="preserve">                         f"{cik}.\n")</t>
        </is>
      </c>
    </row>
    <row r="1872">
      <c r="A1872" s="29" t="inlineStr">
        <is>
          <t xml:space="preserve">        return 1</t>
        </is>
      </c>
    </row>
    <row r="1873">
      <c r="A1873" s="29" t="inlineStr">
        <is>
          <t xml:space="preserve">    if quarter:</t>
        </is>
      </c>
    </row>
    <row r="1874">
      <c r="A1874" s="29" t="inlineStr">
        <is>
          <t xml:space="preserve">        match = [q for q in quarters if q.period == quarter]</t>
        </is>
      </c>
    </row>
    <row r="1875">
      <c r="A1875" s="29" t="inlineStr">
        <is>
          <t xml:space="preserve">        if not match:</t>
        </is>
      </c>
    </row>
    <row r="1876">
      <c r="A1876" s="29" t="inlineStr">
        <is>
          <t xml:space="preserve">            sys.stderr.write(</t>
        </is>
      </c>
    </row>
    <row r="1877">
      <c r="A1877" s="29" t="inlineStr">
        <is>
          <t xml:space="preserve">                f"--tieout: quarter {quarter} not in the fetched window "</t>
        </is>
      </c>
    </row>
    <row r="1878">
      <c r="A1878" s="29" t="inlineStr">
        <is>
          <t xml:space="preserve">                f"({quarters[-1].period} .. {quarters[0].period}).\n")</t>
        </is>
      </c>
    </row>
    <row r="1879">
      <c r="A1879" s="29" t="inlineStr">
        <is>
          <t xml:space="preserve">            return 1</t>
        </is>
      </c>
    </row>
    <row r="1880">
      <c r="A1880" s="29" t="inlineStr">
        <is>
          <t xml:space="preserve">        q = match[0]</t>
        </is>
      </c>
    </row>
    <row r="1881">
      <c r="A1881" s="29" t="inlineStr">
        <is>
          <t xml:space="preserve">    else:</t>
        </is>
      </c>
    </row>
    <row r="1882">
      <c r="A1882" s="29" t="inlineStr">
        <is>
          <t xml:space="preserve">        q = quarters[0]</t>
        </is>
      </c>
    </row>
    <row r="1883">
      <c r="A1883" s="29" t="inlineStr">
        <is>
          <t xml:space="preserve">    fam = cfg.family_of(cik)</t>
        </is>
      </c>
    </row>
    <row r="1884">
      <c r="A1884" s="29" t="inlineStr"/>
    </row>
    <row r="1885">
      <c r="A1885" s="29" t="inlineStr">
        <is>
          <t xml:space="preserve">    print(f"TIE-OUT  cik {cik}  quarter {q.period}  family {fam}  "</t>
        </is>
      </c>
    </row>
    <row r="1886">
      <c r="A1886" s="29" t="inlineStr">
        <is>
          <t xml:space="preserve">          f"(pack {PACK_VERSION}, {mode} mode)")</t>
        </is>
      </c>
    </row>
    <row r="1887">
      <c r="A1887" s="29" t="inlineStr">
        <is>
          <t xml:space="preserve">    if mode == "demo":</t>
        </is>
      </c>
    </row>
    <row r="1888">
      <c r="A1888" s="29" t="inlineStr">
        <is>
          <t xml:space="preserve">        print("  *** DEMO VALUES -- deterministic EdgarDemoProvider FICTION, "</t>
        </is>
      </c>
    </row>
    <row r="1889">
      <c r="A1889" s="29" t="inlineStr">
        <is>
          <t xml:space="preserve">              "NOT this company's filing; the note/tag/axis columns are the "</t>
        </is>
      </c>
    </row>
    <row r="1890">
      <c r="A1890" s="29" t="inlineStr">
        <is>
          <t xml:space="preserve">              "real tie-out map. Re-run without --demo (edgar_user_agent "</t>
        </is>
      </c>
    </row>
    <row r="1891">
      <c r="A1891" s="29" t="inlineStr">
        <is>
          <t xml:space="preserve">              "set) for live values. ***")</t>
        </is>
      </c>
    </row>
    <row r="1892">
      <c r="A1892" s="29" t="inlineStr">
        <is>
          <t xml:space="preserve">    print(f"  Filing directory : {filing_dir_url(cik, q.accession)}")</t>
        </is>
      </c>
    </row>
    <row r="1893">
      <c r="A1893" s="29" t="inlineStr">
        <is>
          <t xml:space="preserve">    print(f"  EDGAR filings    : {BROWSE_URL.format(cik=cik10(cik))}")</t>
        </is>
      </c>
    </row>
    <row r="1894">
      <c r="A1894" s="29" t="inlineStr">
        <is>
          <t xml:space="preserve">    print(f"  Accession        : {q.accession}   tag: {q.tag}")</t>
        </is>
      </c>
    </row>
    <row r="1895">
      <c r="A1895" s="29" t="inlineStr">
        <is>
          <t xml:space="preserve">    print(f"  Data vintage     : {provider.vintage or 'n/a'}")</t>
        </is>
      </c>
    </row>
    <row r="1896">
      <c r="A1896" s="29" t="inlineStr">
        <is>
          <t xml:space="preserve">    print("  Tie-out: open the filing directory, open the 10-Q/10-K R-file "</t>
        </is>
      </c>
    </row>
    <row r="1897">
      <c r="A1897" s="29" t="inlineStr">
        <is>
          <t xml:space="preserve">          "or the primary document's Credit Quality Indicators note, and "</t>
        </is>
      </c>
    </row>
    <row r="1898">
      <c r="A1898" s="29" t="inlineStr">
        <is>
          <t xml:space="preserve">          "match the member amounts below.")</t>
        </is>
      </c>
    </row>
    <row r="1899">
      <c r="A1899" s="29" t="inlineStr">
        <is>
          <t xml:space="preserve">    print()</t>
        </is>
      </c>
    </row>
    <row r="1900">
      <c r="A1900" s="29" t="inlineStr">
        <is>
          <t xml:space="preserve">    hdr = (f"  {'metric':&lt;18} {'value':&gt;14}  {'source document / note':&lt;44} "</t>
        </is>
      </c>
    </row>
    <row r="1901">
      <c r="A1901" s="29" t="inlineStr">
        <is>
          <t xml:space="preserve">           f"flag")</t>
        </is>
      </c>
    </row>
    <row r="1902">
      <c r="A1902" s="29" t="inlineStr">
        <is>
          <t xml:space="preserve">    print(hdr)</t>
        </is>
      </c>
    </row>
    <row r="1903">
      <c r="A1903" s="29" t="inlineStr">
        <is>
          <t xml:space="preserve">    print("  " + "-" * (len(hdr) + 12))</t>
        </is>
      </c>
    </row>
    <row r="1904">
      <c r="A1904" s="29" t="inlineStr">
        <is>
          <t xml:space="preserve">    missing = []</t>
        </is>
      </c>
    </row>
    <row r="1905">
      <c r="A1905" s="29" t="inlineStr">
        <is>
          <t xml:space="preserve">    for spec in METRIC_SPECS:</t>
        </is>
      </c>
    </row>
    <row r="1906">
      <c r="A1906" s="29" t="inlineStr">
        <is>
          <t xml:space="preserve">        v = q.values.get(spec.raw_col)</t>
        </is>
      </c>
    </row>
    <row r="1907">
      <c r="A1907" s="29" t="inlineStr">
        <is>
          <t xml:space="preserve">        vs = "(N/A)" if v is None else f"{v:,.2f}"</t>
        </is>
      </c>
    </row>
    <row r="1908">
      <c r="A1908" s="29" t="inlineStr">
        <is>
          <t xml:space="preserve">        pr = prov_rows.get(spec.id)</t>
        </is>
      </c>
    </row>
    <row r="1909">
      <c r="A1909" s="29" t="inlineStr">
        <is>
          <t xml:space="preserve">        if pr is None:</t>
        </is>
      </c>
    </row>
    <row r="1910">
      <c r="A1910" s="29" t="inlineStr">
        <is>
          <t xml:space="preserve">            missing.append(spec.id)</t>
        </is>
      </c>
    </row>
    <row r="1911">
      <c r="A1911" s="29" t="inlineStr">
        <is>
          <t xml:space="preserve">            pr = {"source": "(no provenance row)", "flag": "", "notes": ""}</t>
        </is>
      </c>
    </row>
    <row r="1912">
      <c r="A1912" s="29" t="inlineStr">
        <is>
          <t xml:space="preserve">        print(f"  {spec.id:&lt;18} {vs:&gt;14}  {pr['source'][:44]:&lt;44} "</t>
        </is>
      </c>
    </row>
    <row r="1913">
      <c r="A1913" s="29" t="inlineStr">
        <is>
          <t xml:space="preserve">              f"{pr['flag']}")</t>
        </is>
      </c>
    </row>
    <row r="1914">
      <c r="A1914" s="29" t="inlineStr">
        <is>
          <t xml:space="preserve">    if missing:</t>
        </is>
      </c>
    </row>
    <row r="1915">
      <c r="A1915" s="29" t="inlineStr">
        <is>
          <t xml:space="preserve">        sys.stderr.write("WARNING: no _provenance row for: "</t>
        </is>
      </c>
    </row>
    <row r="1916">
      <c r="A1916" s="29" t="inlineStr">
        <is>
          <t xml:space="preserve">                         + ", ".join(missing) + "\n")</t>
        </is>
      </c>
    </row>
    <row r="1917">
      <c r="A1917" s="29" t="inlineStr">
        <is>
          <t xml:space="preserve">    print()</t>
        </is>
      </c>
    </row>
    <row r="1918">
      <c r="A1918" s="29" t="inlineStr">
        <is>
          <t xml:space="preserve">    print(f"  MEMBER BREAKDOWN ({len(q.facts)} facts, accession per fact):")</t>
        </is>
      </c>
    </row>
    <row r="1919">
      <c r="A1919" s="29" t="inlineStr">
        <is>
          <t xml:space="preserve">    print(f"  {'class':&lt;16} {'grade':&lt;22} {'member (qname)':&lt;44} "</t>
        </is>
      </c>
    </row>
    <row r="1920">
      <c r="A1920" s="29" t="inlineStr">
        <is>
          <t xml:space="preserve">          f"{'USD':&gt;16}  accession")</t>
        </is>
      </c>
    </row>
    <row r="1921">
      <c r="A1921" s="29" t="inlineStr">
        <is>
          <t xml:space="preserve">    for f, klass, grade in q.facts:</t>
        </is>
      </c>
    </row>
    <row r="1922">
      <c r="A1922" s="29" t="inlineStr">
        <is>
          <t xml:space="preserve">        print(f"  {klass:&lt;16} {grade:&lt;22} {f.grade_qname:&lt;44} "</t>
        </is>
      </c>
    </row>
    <row r="1923">
      <c r="A1923" s="29" t="inlineStr">
        <is>
          <t xml:space="preserve">              f"{f.value:&gt;16,.0f}  {f.accession}")</t>
        </is>
      </c>
    </row>
    <row r="1924">
      <c r="A1924" s="29" t="inlineStr">
        <is>
          <t xml:space="preserve">    if um or uc:</t>
        </is>
      </c>
    </row>
    <row r="1925">
      <c r="A1925" s="29" t="inlineStr">
        <is>
          <t xml:space="preserve">        print()</t>
        </is>
      </c>
    </row>
    <row r="1926">
      <c r="A1926" s="29" t="inlineStr">
        <is>
          <t xml:space="preserve">        print("  UNMAPPED (needs manual mapping -- never guessed): "</t>
        </is>
      </c>
    </row>
    <row r="1927">
      <c r="A1927" s="29" t="inlineStr">
        <is>
          <t xml:space="preserve">              + ", ".join(sorted(um | uc)))</t>
        </is>
      </c>
    </row>
    <row r="1928">
      <c r="A1928" s="29" t="inlineStr">
        <is>
          <t xml:space="preserve">    if events:</t>
        </is>
      </c>
    </row>
    <row r="1929">
      <c r="A1929" s="29" t="inlineStr">
        <is>
          <t xml:space="preserve">        print()</t>
        </is>
      </c>
    </row>
    <row r="1930">
      <c r="A1930" s="29" t="inlineStr">
        <is>
          <t xml:space="preserve">        print("  8-K EVENTS (trailing 4 quarters):")</t>
        </is>
      </c>
    </row>
    <row r="1931">
      <c r="A1931" s="29" t="inlineStr">
        <is>
          <t xml:space="preserve">        for e in events:</t>
        </is>
      </c>
    </row>
    <row r="1932">
      <c r="A1932" s="29" t="inlineStr">
        <is>
          <t xml:space="preserve">            print(f"    {e.date}  item {e.item:&lt;5} {ITEM_LABEL.get(e.item, '')}"</t>
        </is>
      </c>
    </row>
    <row r="1933">
      <c r="A1933" s="29" t="inlineStr">
        <is>
          <t xml:space="preserve">                  f"  {e.accession}  {filing_dir_url(cik, e.accession)}")</t>
        </is>
      </c>
    </row>
    <row r="1934">
      <c r="A1934" s="29" t="inlineStr">
        <is>
          <t xml:space="preserve">    return 0</t>
        </is>
      </c>
    </row>
    <row r="1935">
      <c r="A1935" s="29" t="inlineStr"/>
    </row>
    <row r="1936">
      <c r="A1936" s="29" t="inlineStr"/>
    </row>
    <row r="1937">
      <c r="A1937" s="29" t="inlineStr">
        <is>
          <t># ---------------------------------------------------------------------------</t>
        </is>
      </c>
    </row>
    <row r="1938">
      <c r="A1938" s="29" t="inlineStr">
        <is>
          <t># --lookup (name -&gt; CIK via company_tickers.json; offline: seeded index)</t>
        </is>
      </c>
    </row>
    <row r="1939">
      <c r="A1939" s="29" t="inlineStr">
        <is>
          <t># ---------------------------------------------------------------------------</t>
        </is>
      </c>
    </row>
    <row r="1940">
      <c r="A1940" s="29" t="inlineStr">
        <is>
          <t>EMBEDDED_INDEX = [</t>
        </is>
      </c>
    </row>
    <row r="1941">
      <c r="A1941" s="29" t="inlineStr">
        <is>
          <t xml:space="preserve">    ("35527", "FITB", "Fifth Third Bancorp"),</t>
        </is>
      </c>
    </row>
    <row r="1942">
      <c r="A1942" s="29" t="inlineStr">
        <is>
          <t xml:space="preserve">    ("1281761", "RF", "Regions Financial Corp"),</t>
        </is>
      </c>
    </row>
    <row r="1943">
      <c r="A1943" s="29" t="inlineStr">
        <is>
          <t xml:space="preserve">    ("109380", "ZION", "Zions Bancorporation NA"),</t>
        </is>
      </c>
    </row>
    <row r="1944">
      <c r="A1944" s="29" t="inlineStr">
        <is>
          <t xml:space="preserve">    ("28412", "CMA", "Comerica Inc"),</t>
        </is>
      </c>
    </row>
    <row r="1945">
      <c r="A1945" s="29" t="inlineStr">
        <is>
          <t xml:space="preserve">    ("49196", "HBAN", "Huntington Bancshares Inc"),</t>
        </is>
      </c>
    </row>
    <row r="1946">
      <c r="A1946" s="29" t="inlineStr">
        <is>
          <t xml:space="preserve">    ("92230", "TFC", "Truist Financial Corp"),</t>
        </is>
      </c>
    </row>
    <row r="1947">
      <c r="A1947" s="29" t="inlineStr">
        <is>
          <t xml:space="preserve">    ("91576", "KEY", "KeyCorp"),</t>
        </is>
      </c>
    </row>
    <row r="1948">
      <c r="A1948" s="29" t="inlineStr">
        <is>
          <t xml:space="preserve">    ("36270", "MTB", "M&amp;T Bank Corp"),</t>
        </is>
      </c>
    </row>
    <row r="1949">
      <c r="A1949" s="29" t="inlineStr">
        <is>
          <t xml:space="preserve">    ("36104", "USB", "US Bancorp"),</t>
        </is>
      </c>
    </row>
    <row r="1950">
      <c r="A1950" s="29" t="inlineStr">
        <is>
          <t xml:space="preserve">    ("875357", "BOKF", "BOK Financial Corp"),</t>
        </is>
      </c>
    </row>
    <row r="1951">
      <c r="A1951" s="29" t="inlineStr">
        <is>
          <t xml:space="preserve">    ("19617", "JPM", "JPMorgan Chase &amp; Co"),</t>
        </is>
      </c>
    </row>
    <row r="1952">
      <c r="A1952" s="29" t="inlineStr">
        <is>
          <t>]</t>
        </is>
      </c>
    </row>
    <row r="1953">
      <c r="A1953" s="29" t="inlineStr"/>
    </row>
    <row r="1954">
      <c r="A1954" s="29" t="inlineStr"/>
    </row>
    <row r="1955">
      <c r="A1955" s="29" t="inlineStr">
        <is>
          <t>def do_lookup(name: str, demo: bool, workbook: Optional[str]) -&gt; int:</t>
        </is>
      </c>
    </row>
    <row r="1956">
      <c r="A1956" s="29" t="inlineStr">
        <is>
          <t xml:space="preserve">    needle = name.strip().lower()</t>
        </is>
      </c>
    </row>
    <row r="1957">
      <c r="A1957" s="29" t="inlineStr">
        <is>
          <t xml:space="preserve">    if demo:</t>
        </is>
      </c>
    </row>
    <row r="1958">
      <c r="A1958" s="29" t="inlineStr">
        <is>
          <t xml:space="preserve">        hits = [(c, t, n) for c, t, n in EMBEDDED_INDEX</t>
        </is>
      </c>
    </row>
    <row r="1959">
      <c r="A1959" s="29" t="inlineStr">
        <is>
          <t xml:space="preserve">                if needle in n.lower() or needle == t.lower()]</t>
        </is>
      </c>
    </row>
    <row r="1960">
      <c r="A1960" s="29" t="inlineStr">
        <is>
          <t xml:space="preserve">        if workbook and os.path.exists(workbook):</t>
        </is>
      </c>
    </row>
    <row r="1961">
      <c r="A1961" s="29" t="inlineStr">
        <is>
          <t xml:space="preserve">            import openpyxl</t>
        </is>
      </c>
    </row>
    <row r="1962">
      <c r="A1962" s="29" t="inlineStr">
        <is>
          <t xml:space="preserve">            wb = openpyxl.load_workbook(workbook, read_only=True)</t>
        </is>
      </c>
    </row>
    <row r="1963">
      <c r="A1963" s="29" t="inlineStr">
        <is>
          <t xml:space="preserve">            cfg = parse_config([[c for c in row] for row in</t>
        </is>
      </c>
    </row>
    <row r="1964">
      <c r="A1964" s="29" t="inlineStr">
        <is>
          <t xml:space="preserve">                                wb["_config"].iter_rows(values_only=True)])</t>
        </is>
      </c>
    </row>
    <row r="1965">
      <c r="A1965" s="29" t="inlineStr">
        <is>
          <t xml:space="preserve">            wb.close()</t>
        </is>
      </c>
    </row>
    <row r="1966">
      <c r="A1966" s="29" t="inlineStr">
        <is>
          <t xml:space="preserve">            for p in cfg.peers:</t>
        </is>
      </c>
    </row>
    <row r="1967">
      <c r="A1967" s="29" t="inlineStr">
        <is>
          <t xml:space="preserve">                if p.has_bank and (needle in p.name.lower()</t>
        </is>
      </c>
    </row>
    <row r="1968">
      <c r="A1968" s="29" t="inlineStr">
        <is>
          <t xml:space="preserve">                                   or needle == p.ticker.lower()):</t>
        </is>
      </c>
    </row>
    <row r="1969">
      <c r="A1969" s="29" t="inlineStr">
        <is>
          <t xml:space="preserve">                    hits.append((p.cik, p.ticker, p.name + " ([PEERS] row)"))</t>
        </is>
      </c>
    </row>
    <row r="1970">
      <c r="A1970" s="29" t="inlineStr">
        <is>
          <t xml:space="preserve">        seen = set()</t>
        </is>
      </c>
    </row>
    <row r="1971">
      <c r="A1971" s="29" t="inlineStr">
        <is>
          <t xml:space="preserve">        hits = [h for h in hits if not (h[0] in seen or seen.add(h[0]))]</t>
        </is>
      </c>
    </row>
    <row r="1972">
      <c r="A1972" s="29" t="inlineStr">
        <is>
          <t xml:space="preserve">        print("OFFLINE LOOKUP (--demo): searching the seeded [PEERS] rows + "</t>
        </is>
      </c>
    </row>
    <row r="1973">
      <c r="A1973" s="29" t="inlineStr">
        <is>
          <t xml:space="preserve">              "a small embedded index only. Live --lookup resolves ANY "</t>
        </is>
      </c>
    </row>
    <row r="1974">
      <c r="A1974" s="29" t="inlineStr">
        <is>
          <t xml:space="preserve">              "registrant name/ticker via the SEC's company_tickers.json "</t>
        </is>
      </c>
    </row>
    <row r="1975">
      <c r="A1975" s="29" t="inlineStr">
        <is>
          <t xml:space="preserve">              "(keyless; needs edgar_user_agent set).")</t>
        </is>
      </c>
    </row>
    <row r="1976">
      <c r="A1976" s="29" t="inlineStr">
        <is>
          <t xml:space="preserve">        if not hits:</t>
        </is>
      </c>
    </row>
    <row r="1977">
      <c r="A1977" s="29" t="inlineStr">
        <is>
          <t xml:space="preserve">            print(f'No offline match for "{name}". Run live: '</t>
        </is>
      </c>
    </row>
    <row r="1978">
      <c r="A1978" s="29" t="inlineStr">
        <is>
          <t xml:space="preserve">                  f'python runner.py -w &lt;book&gt;.xlsm --lookup "{name}"')</t>
        </is>
      </c>
    </row>
    <row r="1979">
      <c r="A1979" s="29" t="inlineStr">
        <is>
          <t xml:space="preserve">            return 0</t>
        </is>
      </c>
    </row>
    <row r="1980">
      <c r="A1980" s="29" t="inlineStr">
        <is>
          <t xml:space="preserve">        for c, t, n in hits:</t>
        </is>
      </c>
    </row>
    <row r="1981">
      <c r="A1981" s="29" t="inlineStr">
        <is>
          <t xml:space="preserve">            print(f"  CIK {c:&gt;10}  {t:&lt;6} {n}")</t>
        </is>
      </c>
    </row>
    <row r="1982">
      <c r="A1982" s="29" t="inlineStr">
        <is>
          <t xml:space="preserve">        return 0</t>
        </is>
      </c>
    </row>
    <row r="1983">
      <c r="A1983" s="29" t="inlineStr">
        <is>
          <t xml:space="preserve">    ua = os.environ.get("EDGAR_USER_AGENT", "")</t>
        </is>
      </c>
    </row>
    <row r="1984">
      <c r="A1984" s="29" t="inlineStr">
        <is>
          <t xml:space="preserve">    if workbook and os.path.exists(workbook):</t>
        </is>
      </c>
    </row>
    <row r="1985">
      <c r="A1985" s="29" t="inlineStr">
        <is>
          <t xml:space="preserve">        import openpyxl</t>
        </is>
      </c>
    </row>
    <row r="1986">
      <c r="A1986" s="29" t="inlineStr">
        <is>
          <t xml:space="preserve">        wb = openpyxl.load_workbook(workbook, read_only=True)</t>
        </is>
      </c>
    </row>
    <row r="1987">
      <c r="A1987" s="29" t="inlineStr">
        <is>
          <t xml:space="preserve">        cfg = parse_config([[c for c in row] for row in</t>
        </is>
      </c>
    </row>
    <row r="1988">
      <c r="A1988" s="29" t="inlineStr">
        <is>
          <t xml:space="preserve">                            wb["_config"].iter_rows(values_only=True)])</t>
        </is>
      </c>
    </row>
    <row r="1989">
      <c r="A1989" s="29" t="inlineStr">
        <is>
          <t xml:space="preserve">        wb.close()</t>
        </is>
      </c>
    </row>
    <row r="1990">
      <c r="A1990" s="29" t="inlineStr">
        <is>
          <t xml:space="preserve">        ua = cfg.user_agent or ua</t>
        </is>
      </c>
    </row>
    <row r="1991">
      <c r="A1991" s="29" t="inlineStr">
        <is>
          <t xml:space="preserve">    try:</t>
        </is>
      </c>
    </row>
    <row r="1992">
      <c r="A1992" s="29" t="inlineStr">
        <is>
          <t xml:space="preserve">        prov = EdgarProvider(user_agent=ua)</t>
        </is>
      </c>
    </row>
    <row r="1993">
      <c r="A1993" s="29" t="inlineStr">
        <is>
          <t xml:space="preserve">    except UserAgentMissing as exc:</t>
        </is>
      </c>
    </row>
    <row r="1994">
      <c r="A1994" s="29" t="inlineStr">
        <is>
          <t xml:space="preserve">        sys.stderr.write(f"lookup: {exc}\n(Or set the EDGAR_USER_AGENT "</t>
        </is>
      </c>
    </row>
    <row r="1995">
      <c r="A1995" s="29" t="inlineStr">
        <is>
          <t xml:space="preserve">                         "environment variable when running without "</t>
        </is>
      </c>
    </row>
    <row r="1996">
      <c r="A1996" s="29" t="inlineStr">
        <is>
          <t xml:space="preserve">                         "--workbook.)\n")</t>
        </is>
      </c>
    </row>
    <row r="1997">
      <c r="A1997" s="29" t="inlineStr">
        <is>
          <t xml:space="preserve">        return 3</t>
        </is>
      </c>
    </row>
    <row r="1998">
      <c r="A1998" s="29" t="inlineStr">
        <is>
          <t xml:space="preserve">    try:</t>
        </is>
      </c>
    </row>
    <row r="1999">
      <c r="A1999" s="29" t="inlineStr">
        <is>
          <t xml:space="preserve">        hits = prov.lookup(name)</t>
        </is>
      </c>
    </row>
    <row r="2000">
      <c r="A2000" s="29" t="inlineStr">
        <is>
          <t xml:space="preserve">    except Exception as exc:</t>
        </is>
      </c>
    </row>
    <row r="2001">
      <c r="A2001" s="29" t="inlineStr">
        <is>
          <t xml:space="preserve">        sys.stderr.write(f"lookup failed: {exc}\nCheck network/proxy access "</t>
        </is>
      </c>
    </row>
    <row r="2002">
      <c r="A2002" s="29" t="inlineStr">
        <is>
          <t xml:space="preserve">                         "to www.sec.gov (run --selftest; allowlist "</t>
        </is>
      </c>
    </row>
    <row r="2003">
      <c r="A2003" s="29" t="inlineStr">
        <is>
          <t xml:space="preserve">                         + ", ".join(SEC_HOSTS) + ").\n")</t>
        </is>
      </c>
    </row>
    <row r="2004">
      <c r="A2004" s="29" t="inlineStr">
        <is>
          <t xml:space="preserve">        return 1</t>
        </is>
      </c>
    </row>
    <row r="2005">
      <c r="A2005" s="29" t="inlineStr">
        <is>
          <t xml:space="preserve">    if not hits:</t>
        </is>
      </c>
    </row>
    <row r="2006">
      <c r="A2006" s="29" t="inlineStr">
        <is>
          <t xml:space="preserve">        print(f'No registrants matched "{name}".')</t>
        </is>
      </c>
    </row>
    <row r="2007">
      <c r="A2007" s="29" t="inlineStr">
        <is>
          <t xml:space="preserve">        return 0</t>
        </is>
      </c>
    </row>
    <row r="2008">
      <c r="A2008" s="29" t="inlineStr">
        <is>
          <t xml:space="preserve">    for h in hits:</t>
        </is>
      </c>
    </row>
    <row r="2009">
      <c r="A2009" s="29" t="inlineStr">
        <is>
          <t xml:space="preserve">        print(f'  CIK {h["cik"]:&gt;10}  {h["ticker"]:&lt;6} {h["title"]}')</t>
        </is>
      </c>
    </row>
    <row r="2010">
      <c r="A2010" s="29" t="inlineStr">
        <is>
          <t xml:space="preserve">    print("\nPut the CIK into the _config [PEERS] table "</t>
        </is>
      </c>
    </row>
    <row r="2011">
      <c r="A2011" s="29" t="inlineStr">
        <is>
          <t xml:space="preserve">          "(slot | cik | name | ticker | active) and re-run the runner -- "</t>
        </is>
      </c>
    </row>
    <row r="2012">
      <c r="A2012" s="29" t="inlineStr">
        <is>
          <t xml:space="preserve">          "no rebuild needed within the built slot capacity.")</t>
        </is>
      </c>
    </row>
    <row r="2013">
      <c r="A2013" s="29" t="inlineStr">
        <is>
          <t xml:space="preserve">    return 0</t>
        </is>
      </c>
    </row>
    <row r="2014">
      <c r="A2014" s="29" t="inlineStr"/>
    </row>
    <row r="2015">
      <c r="A2015" s="29" t="inlineStr"/>
    </row>
    <row r="2016">
      <c r="A2016" s="29" t="inlineStr">
        <is>
          <t># ---------------------------------------------------------------------------</t>
        </is>
      </c>
    </row>
    <row r="2017">
      <c r="A2017" s="29" t="inlineStr">
        <is>
          <t># --selftest (trap E10): probe the three SEC hosts; print allowlist guidance.</t>
        </is>
      </c>
    </row>
    <row r="2018">
      <c r="A2018" s="29" t="inlineStr">
        <is>
          <t># ---------------------------------------------------------------------------</t>
        </is>
      </c>
    </row>
    <row r="2019">
      <c r="A2019" s="29" t="inlineStr">
        <is>
          <t>def do_selftest(workbook: Optional[str]) -&gt; int:</t>
        </is>
      </c>
    </row>
    <row r="2020">
      <c r="A2020" s="29" t="inlineStr">
        <is>
          <t xml:space="preserve">    ua = os.environ.get("EDGAR_USER_AGENT", "")</t>
        </is>
      </c>
    </row>
    <row r="2021">
      <c r="A2021" s="29" t="inlineStr">
        <is>
          <t xml:space="preserve">    if workbook and os.path.exists(workbook):</t>
        </is>
      </c>
    </row>
    <row r="2022">
      <c r="A2022" s="29" t="inlineStr">
        <is>
          <t xml:space="preserve">        import openpyxl</t>
        </is>
      </c>
    </row>
    <row r="2023">
      <c r="A2023" s="29" t="inlineStr">
        <is>
          <t xml:space="preserve">        wb = openpyxl.load_workbook(workbook, read_only=True)</t>
        </is>
      </c>
    </row>
    <row r="2024">
      <c r="A2024" s="29" t="inlineStr">
        <is>
          <t xml:space="preserve">        cfg = parse_config([[c for c in row] for row in</t>
        </is>
      </c>
    </row>
    <row r="2025">
      <c r="A2025" s="29" t="inlineStr">
        <is>
          <t xml:space="preserve">                            wb["_config"].iter_rows(values_only=True)])</t>
        </is>
      </c>
    </row>
    <row r="2026">
      <c r="A2026" s="29" t="inlineStr">
        <is>
          <t xml:space="preserve">        wb.close()</t>
        </is>
      </c>
    </row>
    <row r="2027">
      <c r="A2027" s="29" t="inlineStr">
        <is>
          <t xml:space="preserve">        ua = cfg.user_agent or ua</t>
        </is>
      </c>
    </row>
    <row r="2028">
      <c r="A2028" s="29" t="inlineStr">
        <is>
          <t xml:space="preserve">    if not ua:</t>
        </is>
      </c>
    </row>
    <row r="2029">
      <c r="A2029" s="29" t="inlineStr">
        <is>
          <t xml:space="preserve">        print("NOTE: no edgar_user_agent configured -- probing with a "</t>
        </is>
      </c>
    </row>
    <row r="2030">
      <c r="A2030" s="29" t="inlineStr">
        <is>
          <t xml:space="preserve">              "placeholder UA; SEC may 403 it. Set edgar_user_agent in "</t>
        </is>
      </c>
    </row>
    <row r="2031">
      <c r="A2031" s="29" t="inlineStr">
        <is>
          <t xml:space="preserve">              "_config (\"{org} {email}\") before a live run.")</t>
        </is>
      </c>
    </row>
    <row r="2032">
      <c r="A2032" s="29" t="inlineStr">
        <is>
          <t xml:space="preserve">        ua = "selftest placeholder@example.com"</t>
        </is>
      </c>
    </row>
    <row r="2033">
      <c r="A2033" s="29" t="inlineStr">
        <is>
          <t xml:space="preserve">    probes = [</t>
        </is>
      </c>
    </row>
    <row r="2034">
      <c r="A2034" s="29" t="inlineStr">
        <is>
          <t xml:space="preserve">        ("data.sec.gov (submissions JSON)",</t>
        </is>
      </c>
    </row>
    <row r="2035">
      <c r="A2035" s="29" t="inlineStr">
        <is>
          <t xml:space="preserve">         SUBMISSIONS_URL.format(cik10=cik10("35527"))),</t>
        </is>
      </c>
    </row>
    <row r="2036">
      <c r="A2036" s="29" t="inlineStr">
        <is>
          <t xml:space="preserve">        ("www.sec.gov (/Archives + company_tickers.json)", TICKERS_URL),</t>
        </is>
      </c>
    </row>
    <row r="2037">
      <c r="A2037" s="29" t="inlineStr">
        <is>
          <t xml:space="preserve">        ("efts.sec.gov (full-text search fallback lane)", FTS_URL),</t>
        </is>
      </c>
    </row>
    <row r="2038">
      <c r="A2038" s="29" t="inlineStr">
        <is>
          <t xml:space="preserve">    ]</t>
        </is>
      </c>
    </row>
    <row r="2039">
      <c r="A2039" s="29" t="inlineStr">
        <is>
          <t xml:space="preserve">    import urllib.request</t>
        </is>
      </c>
    </row>
    <row r="2040">
      <c r="A2040" s="29" t="inlineStr">
        <is>
          <t xml:space="preserve">    import urllib.error</t>
        </is>
      </c>
    </row>
    <row r="2041">
      <c r="A2041" s="29" t="inlineStr">
        <is>
          <t xml:space="preserve">    ok = True</t>
        </is>
      </c>
    </row>
    <row r="2042">
      <c r="A2042" s="29" t="inlineStr">
        <is>
          <t xml:space="preserve">    for label, url in probes:</t>
        </is>
      </c>
    </row>
    <row r="2043">
      <c r="A2043" s="29" t="inlineStr">
        <is>
          <t xml:space="preserve">        try:</t>
        </is>
      </c>
    </row>
    <row r="2044">
      <c r="A2044" s="29" t="inlineStr">
        <is>
          <t xml:space="preserve">            req = urllib.request.Request(url, headers={"User-Agent": ua})</t>
        </is>
      </c>
    </row>
    <row r="2045">
      <c r="A2045" s="29" t="inlineStr">
        <is>
          <t xml:space="preserve">            with urllib.request.urlopen(req, timeout=20) as resp:</t>
        </is>
      </c>
    </row>
    <row r="2046">
      <c r="A2046" s="29" t="inlineStr">
        <is>
          <t xml:space="preserve">                print(f"  OK    {label}  (HTTP {resp.status})")</t>
        </is>
      </c>
    </row>
    <row r="2047">
      <c r="A2047" s="29" t="inlineStr">
        <is>
          <t xml:space="preserve">        except urllib.error.HTTPError as exc:</t>
        </is>
      </c>
    </row>
    <row r="2048">
      <c r="A2048" s="29" t="inlineStr">
        <is>
          <t xml:space="preserve">            # ANY HTTP response proves the host is reachable</t>
        </is>
      </c>
    </row>
    <row r="2049">
      <c r="A2049" s="29" t="inlineStr">
        <is>
          <t xml:space="preserve">            note = (" -- 403 usually means the User-Agent was rejected: set "</t>
        </is>
      </c>
    </row>
    <row r="2050">
      <c r="A2050" s="29" t="inlineStr">
        <is>
          <t xml:space="preserve">                    "edgar_user_agent to \"{org} {email}\""</t>
        </is>
      </c>
    </row>
    <row r="2051">
      <c r="A2051" s="29" t="inlineStr">
        <is>
          <t xml:space="preserve">                    if exc.code == 403 else "")</t>
        </is>
      </c>
    </row>
    <row r="2052">
      <c r="A2052" s="29" t="inlineStr">
        <is>
          <t xml:space="preserve">            print(f"  WARN  {label}  (HTTP {exc.code}{note})")</t>
        </is>
      </c>
    </row>
    <row r="2053">
      <c r="A2053" s="29" t="inlineStr">
        <is>
          <t xml:space="preserve">        except Exception as exc:</t>
        </is>
      </c>
    </row>
    <row r="2054">
      <c r="A2054" s="29" t="inlineStr">
        <is>
          <t xml:space="preserve">            ok = False</t>
        </is>
      </c>
    </row>
    <row r="2055">
      <c r="A2055" s="29" t="inlineStr">
        <is>
          <t xml:space="preserve">            print(f"  FAIL  {label}  ({type(exc).__name__}: {exc})")</t>
        </is>
      </c>
    </row>
    <row r="2056">
      <c r="A2056" s="29" t="inlineStr">
        <is>
          <t xml:space="preserve">    if not ok:</t>
        </is>
      </c>
    </row>
    <row r="2057">
      <c r="A2057" s="29" t="inlineStr">
        <is>
          <t xml:space="preserve">        print()</t>
        </is>
      </c>
    </row>
    <row r="2058">
      <c r="A2058" s="29" t="inlineStr">
        <is>
          <t xml:space="preserve">        print("Connectivity failed. Corporate proxies commonly block "</t>
        </is>
      </c>
    </row>
    <row r="2059">
      <c r="A2059" s="29" t="inlineStr">
        <is>
          <t xml:space="preserve">              "sec.gov (observed fact -- trap E10). Ask your network team "</t>
        </is>
      </c>
    </row>
    <row r="2060">
      <c r="A2060" s="29" t="inlineStr">
        <is>
          <t xml:space="preserve">              "to allowlist HTTPS to: " + ", ".join(SEC_HOSTS) + ". "</t>
        </is>
      </c>
    </row>
    <row r="2061">
      <c r="A2061" s="29" t="inlineStr">
        <is>
          <t xml:space="preserve">              "All requests are keyless GETs with a declared User-Agent, "</t>
        </is>
      </c>
    </row>
    <row r="2062">
      <c r="A2062" s="29" t="inlineStr">
        <is>
          <t xml:space="preserve">              "throttled well under SEC's 10 req/s fair-access cap.")</t>
        </is>
      </c>
    </row>
    <row r="2063">
      <c r="A2063" s="29" t="inlineStr">
        <is>
          <t xml:space="preserve">    return 0 if ok else 1</t>
        </is>
      </c>
    </row>
    <row r="2064">
      <c r="A2064" s="29" t="inlineStr"/>
    </row>
    <row r="2065">
      <c r="A2065" s="29" t="inlineStr"/>
    </row>
    <row r="2066">
      <c r="A2066" s="29" t="inlineStr">
        <is>
          <t># ---------------------------------------------------------------------------</t>
        </is>
      </c>
    </row>
    <row r="2067">
      <c r="A2067" s="29" t="inlineStr">
        <is>
          <t># CLI (contract sec 4)</t>
        </is>
      </c>
    </row>
    <row r="2068">
      <c r="A2068" s="29" t="inlineStr">
        <is>
          <t># ---------------------------------------------------------------------------</t>
        </is>
      </c>
    </row>
    <row r="2069">
      <c r="A2069" s="29" t="inlineStr">
        <is>
          <t>def main(argv: Optional[Sequence[str]] = None) -&gt; int:</t>
        </is>
      </c>
    </row>
    <row r="2070">
      <c r="A2070" s="29" t="inlineStr">
        <is>
          <t xml:space="preserve">    ap = argparse.ArgumentParser(</t>
        </is>
      </c>
    </row>
    <row r="2071">
      <c r="A2071" s="29" t="inlineStr">
        <is>
          <t xml:space="preserve">        description="EDGAR Criticized/Classified Tracker runner (SEC EDGAR)")</t>
        </is>
      </c>
    </row>
    <row r="2072">
      <c r="A2072" s="29" t="inlineStr">
        <is>
          <t xml:space="preserve">    ap.add_argument("--workbook", "-w", default=None,</t>
        </is>
      </c>
    </row>
    <row r="2073">
      <c r="A2073" s="29" t="inlineStr">
        <is>
          <t xml:space="preserve">                    help="path to the .xlsm (required unless "</t>
        </is>
      </c>
    </row>
    <row r="2074">
      <c r="A2074" s="29" t="inlineStr">
        <is>
          <t xml:space="preserve">                         "--lookup/--selftest)")</t>
        </is>
      </c>
    </row>
    <row r="2075">
      <c r="A2075" s="29" t="inlineStr">
        <is>
          <t xml:space="preserve">    ap.add_argument("--demo", action="store_true",</t>
        </is>
      </c>
    </row>
    <row r="2076">
      <c r="A2076" s="29" t="inlineStr">
        <is>
          <t xml:space="preserve">                    help="deterministic offline EdgarDemoProvider (no "</t>
        </is>
      </c>
    </row>
    <row r="2077">
      <c r="A2077" s="29" t="inlineStr">
        <is>
          <t xml:space="preserve">                         "network, no User-Agent needed)")</t>
        </is>
      </c>
    </row>
    <row r="2078">
      <c r="A2078" s="29" t="inlineStr">
        <is>
          <t xml:space="preserve">    ap.add_argument("--asof", default=None, help="YYYY-MM-DD (testing)")</t>
        </is>
      </c>
    </row>
    <row r="2079">
      <c r="A2079" s="29" t="inlineStr">
        <is>
          <t xml:space="preserve">    ap.add_argument("--lookup", default=None, metavar="NAME",</t>
        </is>
      </c>
    </row>
    <row r="2080">
      <c r="A2080" s="29" t="inlineStr">
        <is>
          <t xml:space="preserve">                    help='find a registrant CIK by name/ticker: '</t>
        </is>
      </c>
    </row>
    <row r="2081">
      <c r="A2081" s="29" t="inlineStr">
        <is>
          <t xml:space="preserve">                         '--lookup "Frost" (live via company_tickers.json; '</t>
        </is>
      </c>
    </row>
    <row r="2082">
      <c r="A2082" s="29" t="inlineStr">
        <is>
          <t xml:space="preserve">                         "offline searches the seeded index)")</t>
        </is>
      </c>
    </row>
    <row r="2083">
      <c r="A2083" s="29" t="inlineStr">
        <is>
          <t xml:space="preserve">    ap.add_argument("--tieout", default=None, nargs="+", metavar="ARG",</t>
        </is>
      </c>
    </row>
    <row r="2084">
      <c r="A2084" s="29" t="inlineStr">
        <is>
          <t xml:space="preserve">                    help="CIK [quarter]: print value + tag + member "</t>
        </is>
      </c>
    </row>
    <row r="2085">
      <c r="A2085" s="29" t="inlineStr">
        <is>
          <t xml:space="preserve">                         "breakdown + accession + EDGAR viewer URL for one "</t>
        </is>
      </c>
    </row>
    <row r="2086">
      <c r="A2086" s="29" t="inlineStr">
        <is>
          <t xml:space="preserve">                         "bank(-quarter); works with --demo (labeled)")</t>
        </is>
      </c>
    </row>
    <row r="2087">
      <c r="A2087" s="29" t="inlineStr">
        <is>
          <t xml:space="preserve">    ap.add_argument("--selftest", action="store_true",</t>
        </is>
      </c>
    </row>
    <row r="2088">
      <c r="A2088" s="29" t="inlineStr">
        <is>
          <t xml:space="preserve">                    help="probe the three SEC hosts and print proxy "</t>
        </is>
      </c>
    </row>
    <row r="2089">
      <c r="A2089" s="29" t="inlineStr">
        <is>
          <t xml:space="preserve">                         "allowlist guidance")</t>
        </is>
      </c>
    </row>
    <row r="2090">
      <c r="A2090" s="29" t="inlineStr">
        <is>
          <t xml:space="preserve">    args = ap.parse_args(argv)</t>
        </is>
      </c>
    </row>
    <row r="2091">
      <c r="A2091" s="29" t="inlineStr">
        <is>
          <t xml:space="preserve">    if args.selftest:</t>
        </is>
      </c>
    </row>
    <row r="2092">
      <c r="A2092" s="29" t="inlineStr">
        <is>
          <t xml:space="preserve">        return do_selftest(args.workbook)</t>
        </is>
      </c>
    </row>
    <row r="2093">
      <c r="A2093" s="29" t="inlineStr">
        <is>
          <t xml:space="preserve">    if args.lookup is not None:</t>
        </is>
      </c>
    </row>
    <row r="2094">
      <c r="A2094" s="29" t="inlineStr">
        <is>
          <t xml:space="preserve">        return do_lookup(args.lookup, args.demo, args.workbook)</t>
        </is>
      </c>
    </row>
    <row r="2095">
      <c r="A2095" s="29" t="inlineStr">
        <is>
          <t xml:space="preserve">    if not args.workbook:</t>
        </is>
      </c>
    </row>
    <row r="2096">
      <c r="A2096" s="29" t="inlineStr">
        <is>
          <t xml:space="preserve">        sys.stderr.write("--workbook is required (or use --lookup / "</t>
        </is>
      </c>
    </row>
    <row r="2097">
      <c r="A2097" s="29" t="inlineStr">
        <is>
          <t xml:space="preserve">                         "--selftest).\n")</t>
        </is>
      </c>
    </row>
    <row r="2098">
      <c r="A2098" s="29" t="inlineStr">
        <is>
          <t xml:space="preserve">        return 2</t>
        </is>
      </c>
    </row>
    <row r="2099">
      <c r="A2099" s="29" t="inlineStr">
        <is>
          <t xml:space="preserve">    if args.tieout is not None:</t>
        </is>
      </c>
    </row>
    <row r="2100">
      <c r="A2100" s="29" t="inlineStr">
        <is>
          <t xml:space="preserve">        if len(args.tieout) &gt; 2:</t>
        </is>
      </c>
    </row>
    <row r="2101">
      <c r="A2101" s="29" t="inlineStr">
        <is>
          <t xml:space="preserve">            sys.stderr.write("--tieout takes CIK [quarter].\n")</t>
        </is>
      </c>
    </row>
    <row r="2102">
      <c r="A2102" s="29" t="inlineStr">
        <is>
          <t xml:space="preserve">            return 2</t>
        </is>
      </c>
    </row>
    <row r="2103">
      <c r="A2103" s="29" t="inlineStr">
        <is>
          <t xml:space="preserve">        try:</t>
        </is>
      </c>
    </row>
    <row r="2104">
      <c r="A2104" s="29" t="inlineStr">
        <is>
          <t xml:space="preserve">            return do_tieout(args.workbook, args.tieout, args.demo)</t>
        </is>
      </c>
    </row>
    <row r="2105">
      <c r="A2105" s="29" t="inlineStr">
        <is>
          <t xml:space="preserve">        except Exception as exc:</t>
        </is>
      </c>
    </row>
    <row r="2106">
      <c r="A2106" s="29" t="inlineStr">
        <is>
          <t xml:space="preserve">            sys.stderr.write(f"TIEOUT ERROR: {exc}\n")</t>
        </is>
      </c>
    </row>
    <row r="2107">
      <c r="A2107" s="29" t="inlineStr">
        <is>
          <t xml:space="preserve">            return 1</t>
        </is>
      </c>
    </row>
    <row r="2108">
      <c r="A2108" s="29" t="inlineStr">
        <is>
          <t xml:space="preserve">    asof = datetime.strptime(args.asof, "%Y-%m-%d").date() if args.asof else None</t>
        </is>
      </c>
    </row>
    <row r="2109">
      <c r="A2109" s="29" t="inlineStr">
        <is>
          <t xml:space="preserve">    try:</t>
        </is>
      </c>
    </row>
    <row r="2110">
      <c r="A2110" s="29" t="inlineStr">
        <is>
          <t xml:space="preserve">        status = run(args.workbook, demo=args.demo, asof=asof)</t>
        </is>
      </c>
    </row>
    <row r="2111">
      <c r="A2111" s="29" t="inlineStr">
        <is>
          <t xml:space="preserve">    except (WatchlistRefused, MetricError, PeerCapacityError) as exc:</t>
        </is>
      </c>
    </row>
    <row r="2112">
      <c r="A2112" s="29" t="inlineStr">
        <is>
          <t xml:space="preserve">        sys.stderr.write(f"GATE ERROR: {exc}\n")</t>
        </is>
      </c>
    </row>
    <row r="2113">
      <c r="A2113" s="29" t="inlineStr">
        <is>
          <t xml:space="preserve">        print(json.dumps({"ok": False, "error": str(exc)}))</t>
        </is>
      </c>
    </row>
    <row r="2114">
      <c r="A2114" s="29" t="inlineStr">
        <is>
          <t xml:space="preserve">        return 2</t>
        </is>
      </c>
    </row>
    <row r="2115">
      <c r="A2115" s="29" t="inlineStr">
        <is>
          <t xml:space="preserve">    except UserAgentMissing as exc:</t>
        </is>
      </c>
    </row>
    <row r="2116">
      <c r="A2116" s="29" t="inlineStr">
        <is>
          <t xml:space="preserve">        sys.stderr.write(f"MISSING SETTING: {exc}\n")</t>
        </is>
      </c>
    </row>
    <row r="2117">
      <c r="A2117" s="29" t="inlineStr">
        <is>
          <t xml:space="preserve">        print(json.dumps({"ok": False, "error": str(exc)}))</t>
        </is>
      </c>
    </row>
    <row r="2118">
      <c r="A2118" s="29" t="inlineStr">
        <is>
          <t xml:space="preserve">        return 3</t>
        </is>
      </c>
    </row>
    <row r="2119">
      <c r="A2119" s="29" t="inlineStr">
        <is>
          <t xml:space="preserve">    except Exception as exc:</t>
        </is>
      </c>
    </row>
    <row r="2120">
      <c r="A2120" s="29" t="inlineStr">
        <is>
          <t xml:space="preserve">        sys.stderr.write(f"RUN ERROR: {exc}\n")</t>
        </is>
      </c>
    </row>
    <row r="2121">
      <c r="A2121" s="29" t="inlineStr">
        <is>
          <t xml:space="preserve">        print(json.dumps({"ok": False, "error": str(exc)}))</t>
        </is>
      </c>
    </row>
    <row r="2122">
      <c r="A2122" s="29" t="inlineStr">
        <is>
          <t xml:space="preserve">        return 1</t>
        </is>
      </c>
    </row>
    <row r="2123">
      <c r="A2123" s="29" t="inlineStr">
        <is>
          <t xml:space="preserve">    print(json.dumps({"ok": True,</t>
        </is>
      </c>
    </row>
    <row r="2124">
      <c r="A2124" s="29" t="inlineStr">
        <is>
          <t xml:space="preserve">                      **{k: v for k, v in status.items() if k != "digest"}}))</t>
        </is>
      </c>
    </row>
    <row r="2125">
      <c r="A2125" s="29" t="inlineStr">
        <is>
          <t xml:space="preserve">    sys.stderr.write(</t>
        </is>
      </c>
    </row>
    <row r="2126">
      <c r="A2126" s="29" t="inlineStr">
        <is>
          <t xml:space="preserve">        f"OK ({status['mode']}): {status['banks_landed']}/"</t>
        </is>
      </c>
    </row>
    <row r="2127">
      <c r="A2127" s="29" t="inlineStr">
        <is>
          <t xml:space="preserve">        f"{status['banks_active']} banks landed, "</t>
        </is>
      </c>
    </row>
    <row r="2128">
      <c r="A2128" s="29" t="inlineStr">
        <is>
          <t xml:space="preserve">        f"{status['alert_banks']} ALERT / {status['watch_banks']} WATCH / "</t>
        </is>
      </c>
    </row>
    <row r="2129">
      <c r="A2129" s="29" t="inlineStr">
        <is>
          <t xml:space="preserve">        f"{status['na_banks']} N-A / {status['stale_banks']} STALE, "</t>
        </is>
      </c>
    </row>
    <row r="2130">
      <c r="A2130" s="29" t="inlineStr">
        <is>
          <t xml:space="preserve">        f"8-K watch events={status['watch_8k_events']}, "</t>
        </is>
      </c>
    </row>
    <row r="2131">
      <c r="A2131" s="29" t="inlineStr">
        <is>
          <t xml:space="preserve">        f"unmapped members={len(status['unmapped_members'])}, "</t>
        </is>
      </c>
    </row>
    <row r="2132">
      <c r="A2132" s="29" t="inlineStr">
        <is>
          <t xml:space="preserve">        f"refused={len(status['watchlist_refusals'])}.\n")</t>
        </is>
      </c>
    </row>
    <row r="2133">
      <c r="A2133" s="29" t="inlineStr">
        <is>
          <t xml:space="preserve">    return 0</t>
        </is>
      </c>
    </row>
    <row r="2134">
      <c r="A2134" s="29" t="inlineStr"/>
    </row>
    <row r="2135">
      <c r="A2135" s="29" t="inlineStr"/>
    </row>
    <row r="2136">
      <c r="A2136" s="29" t="inlineStr">
        <is>
          <t>if __name__ == "__main__":</t>
        </is>
      </c>
    </row>
    <row r="2137">
      <c r="A2137" s="29" t="inlineStr">
        <is>
          <t xml:space="preserve">    raise SystemExit(main())</t>
        </is>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134"/>
  <sheetViews>
    <sheetView showGridLines="0" workbookViewId="0">
      <selection activeCell="A1" sqref="A1"/>
    </sheetView>
  </sheetViews>
  <sheetFormatPr baseColWidth="8" defaultRowHeight="15"/>
  <cols>
    <col width="120" customWidth="1" min="1" max="1"/>
  </cols>
  <sheetData>
    <row r="1">
      <c r="A1" s="29" t="inlineStr">
        <is>
          <t>'================================================================================</t>
        </is>
      </c>
    </row>
    <row r="2">
      <c r="A2" s="29" t="inlineStr">
        <is>
          <t>' EDGAR Criticized/Classified Tracker -- extractor macro</t>
        </is>
      </c>
    </row>
    <row r="3">
      <c r="A3" s="29" t="inlineStr">
        <is>
          <t>' (BUILD_SPEC_EDGAR.md Section 5: EXTRACT-ONLY).</t>
        </is>
      </c>
    </row>
    <row r="4">
      <c r="A4" s="29" t="inlineStr">
        <is>
          <t>'</t>
        </is>
      </c>
    </row>
    <row r="5">
      <c r="A5" s="29" t="inlineStr">
        <is>
          <t>' The workbook is already the finished product: every dashboard, formula and</t>
        </is>
      </c>
    </row>
    <row r="6">
      <c r="A6" s="29" t="inlineStr">
        <is>
          <t>' heat rule is built in, and the peer list lives in _config [PEERS]. The data</t>
        </is>
      </c>
    </row>
    <row r="7">
      <c r="A7" s="29" t="inlineStr">
        <is>
          <t>' is the only thing missing.</t>
        </is>
      </c>
    </row>
    <row r="8">
      <c r="A8" s="29" t="inlineStr">
        <is>
          <t>'</t>
        </is>
      </c>
    </row>
    <row r="9">
      <c r="A9" s="29" t="inlineStr">
        <is>
          <t>' "Extract" (run ExtractFiles, or the ExtractAndRun alias, via Alt+F8):</t>
        </is>
      </c>
    </row>
    <row r="10">
      <c r="A10" s="29" t="inlineStr">
        <is>
          <t>'   1. Writes runner.py from the _code_py tab into the workbook's folder.</t>
        </is>
      </c>
    </row>
    <row r="11">
      <c r="A11" s="29" t="inlineStr">
        <is>
          <t>'   2. Writes requirements.txt (the Python dependencies).</t>
        </is>
      </c>
    </row>
    <row r="12">
      <c r="A12" s="29" t="inlineStr">
        <is>
          <t>'   3. Writes RUN.txt (the exact PowerShell commands, incl. --lookup,</t>
        </is>
      </c>
    </row>
    <row r="13">
      <c r="A13" s="29" t="inlineStr">
        <is>
          <t>'      --tieout and --selftest).</t>
        </is>
      </c>
    </row>
    <row r="14">
      <c r="A14" s="29" t="inlineStr">
        <is>
          <t>'</t>
        </is>
      </c>
    </row>
    <row r="15">
      <c r="A15" s="29" t="inlineStr">
        <is>
          <t>' NOTHING runs inside Excel (no shell-out, no xlwings, no save-from-VBA). After</t>
        </is>
      </c>
    </row>
    <row r="16">
      <c r="A16" s="29" t="inlineStr">
        <is>
          <t>' extracting: SAVE and CLOSE the workbook, then follow RUN.txt from PowerShell.</t>
        </is>
      </c>
    </row>
    <row r="17">
      <c r="A17" s="29" t="inlineStr">
        <is>
          <t>' runner.py writes the data into the CLOSED workbook via openpyxl. Reopen and</t>
        </is>
      </c>
    </row>
    <row r="18">
      <c r="A18" s="29" t="inlineStr">
        <is>
          <t>' the formulas recalc into the finished dashboards.</t>
        </is>
      </c>
    </row>
    <row r="19">
      <c r="A19" s="29" t="inlineStr">
        <is>
          <t>'</t>
        </is>
      </c>
    </row>
    <row r="20">
      <c r="A20" s="29" t="inlineStr">
        <is>
          <t>' This is a readable/portable reference copy; the identical text lives in the</t>
        </is>
      </c>
    </row>
    <row r="21">
      <c r="A21" s="29" t="inlineStr">
        <is>
          <t>' _code_vba tab so the workbook stays the single source of truth.</t>
        </is>
      </c>
    </row>
    <row r="22">
      <c r="A22" s="29" t="inlineStr">
        <is>
          <t>'================================================================================</t>
        </is>
      </c>
    </row>
    <row r="23">
      <c r="A23" s="29" t="inlineStr">
        <is>
          <t>Option Explicit</t>
        </is>
      </c>
    </row>
    <row r="24">
      <c r="A24" s="29" t="inlineStr"/>
    </row>
    <row r="25">
      <c r="A25" s="29" t="inlineStr">
        <is>
          <t>Private Const STATUS_SHEET As String = "Dashboard_Criticized"</t>
        </is>
      </c>
    </row>
    <row r="26">
      <c r="A26" s="29" t="inlineStr"/>
    </row>
    <row r="27">
      <c r="A27" s="29" t="inlineStr">
        <is>
          <t>' Kept as an alias so the old name / any assigned button still works.</t>
        </is>
      </c>
    </row>
    <row r="28">
      <c r="A28" s="29" t="inlineStr">
        <is>
          <t>Public Sub ExtractAndRun()</t>
        </is>
      </c>
    </row>
    <row r="29">
      <c r="A29" s="29" t="inlineStr">
        <is>
          <t xml:space="preserve">    ExtractFiles</t>
        </is>
      </c>
    </row>
    <row r="30">
      <c r="A30" s="29" t="inlineStr">
        <is>
          <t>End Sub</t>
        </is>
      </c>
    </row>
    <row r="31">
      <c r="A31" s="29" t="inlineStr"/>
    </row>
    <row r="32">
      <c r="A32" s="29" t="inlineStr">
        <is>
          <t>Public Sub ExtractFiles()</t>
        </is>
      </c>
    </row>
    <row r="33">
      <c r="A33" s="29" t="inlineStr">
        <is>
          <t xml:space="preserve">    Dim folder As String, sep As String</t>
        </is>
      </c>
    </row>
    <row r="34">
      <c r="A34" s="29" t="inlineStr">
        <is>
          <t xml:space="preserve">    On Error GoTo Fail</t>
        </is>
      </c>
    </row>
    <row r="35">
      <c r="A35" s="29" t="inlineStr"/>
    </row>
    <row r="36">
      <c r="A36" s="29" t="inlineStr">
        <is>
          <t xml:space="preserve">    folder = ThisWorkbook.Path</t>
        </is>
      </c>
    </row>
    <row r="37">
      <c r="A37" s="29" t="inlineStr">
        <is>
          <t xml:space="preserve">    If Len(folder) = 0 Then</t>
        </is>
      </c>
    </row>
    <row r="38">
      <c r="A38" s="29" t="inlineStr">
        <is>
          <t xml:space="preserve">        MsgBox "Save the workbook to a folder first, then run ExtractFiles.", vbExclamation</t>
        </is>
      </c>
    </row>
    <row r="39">
      <c r="A39" s="29" t="inlineStr">
        <is>
          <t xml:space="preserve">        Exit Sub</t>
        </is>
      </c>
    </row>
    <row r="40">
      <c r="A40" s="29" t="inlineStr">
        <is>
          <t xml:space="preserve">    End If</t>
        </is>
      </c>
    </row>
    <row r="41">
      <c r="A41" s="29" t="inlineStr">
        <is>
          <t xml:space="preserve">    sep = Application.PathSeparator</t>
        </is>
      </c>
    </row>
    <row r="42">
      <c r="A42" s="29" t="inlineStr"/>
    </row>
    <row r="43">
      <c r="A43" s="29" t="inlineStr">
        <is>
          <t xml:space="preserve">    WriteTabToFile "_code_py", folder &amp; sep &amp; "runner.py"          ' the data-path script</t>
        </is>
      </c>
    </row>
    <row r="44">
      <c r="A44" s="29" t="inlineStr">
        <is>
          <t xml:space="preserve">    WriteTextFile folder &amp; sep &amp; "requirements.txt", RequirementsText()</t>
        </is>
      </c>
    </row>
    <row r="45">
      <c r="A45" s="29" t="inlineStr">
        <is>
          <t xml:space="preserve">    WriteTextFile folder &amp; sep &amp; "RUN.txt", RunText()             ' the PowerShell commands</t>
        </is>
      </c>
    </row>
    <row r="46">
      <c r="A46" s="29" t="inlineStr"/>
    </row>
    <row r="47">
      <c r="A47" s="29" t="inlineStr">
        <is>
          <t xml:space="preserve">    SetStatus "Extracted", "runner.py + requirements.txt + RUN.txt written -- see RUN.txt."</t>
        </is>
      </c>
    </row>
    <row r="48">
      <c r="A48" s="29" t="inlineStr">
        <is>
          <t xml:space="preserve">    MsgBox "Extracted next to this workbook:" &amp; vbCrLf &amp; _</t>
        </is>
      </c>
    </row>
    <row r="49">
      <c r="A49" s="29" t="inlineStr">
        <is>
          <t xml:space="preserve">           "    runner.py" &amp; vbCrLf &amp; _</t>
        </is>
      </c>
    </row>
    <row r="50">
      <c r="A50" s="29" t="inlineStr">
        <is>
          <t xml:space="preserve">           "    requirements.txt" &amp; vbCrLf &amp; _</t>
        </is>
      </c>
    </row>
    <row r="51">
      <c r="A51" s="29" t="inlineStr">
        <is>
          <t xml:space="preserve">           "    RUN.txt   (the PowerShell commands)" &amp; vbCrLf &amp; vbCrLf &amp; _</t>
        </is>
      </c>
    </row>
    <row r="52">
      <c r="A52" s="29" t="inlineStr">
        <is>
          <t xml:space="preserve">           "Open RUN.txt and follow it: install the deps, then run runner.py from " &amp; _</t>
        </is>
      </c>
    </row>
    <row r="53">
      <c r="A53" s="29" t="inlineStr">
        <is>
          <t xml:space="preserve">           "PowerShell with this workbook CLOSED. Reopen to see the dashboards." &amp; vbCrLf &amp; vbCrLf &amp; _</t>
        </is>
      </c>
    </row>
    <row r="54">
      <c r="A54" s="29" t="inlineStr">
        <is>
          <t xml:space="preserve">           "Just trying it out? Use the --demo command in RUN.txt (offline). " &amp; _</t>
        </is>
      </c>
    </row>
    <row r="55">
      <c r="A55" s="29" t="inlineStr">
        <is>
          <t xml:space="preserve">           "Live pulls are KEYLESS but REQUIRE edgar_user_agent set in _config " &amp; _</t>
        </is>
      </c>
    </row>
    <row r="56">
      <c r="A56" s="29" t="inlineStr">
        <is>
          <t xml:space="preserve">           "(SEC fair-access: ""{org} {email}"").", _</t>
        </is>
      </c>
    </row>
    <row r="57">
      <c r="A57" s="29" t="inlineStr">
        <is>
          <t xml:space="preserve">           vbInformation, "Extract complete"</t>
        </is>
      </c>
    </row>
    <row r="58">
      <c r="A58" s="29" t="inlineStr">
        <is>
          <t xml:space="preserve">    Exit Sub</t>
        </is>
      </c>
    </row>
    <row r="59">
      <c r="A59" s="29" t="inlineStr"/>
    </row>
    <row r="60">
      <c r="A60" s="29" t="inlineStr">
        <is>
          <t>Fail:</t>
        </is>
      </c>
    </row>
    <row r="61">
      <c r="A61" s="29" t="inlineStr">
        <is>
          <t xml:space="preserve">    MsgBox "Extract failed: " &amp; Err.Description, vbCritical</t>
        </is>
      </c>
    </row>
    <row r="62">
      <c r="A62" s="29" t="inlineStr">
        <is>
          <t>End Sub</t>
        </is>
      </c>
    </row>
    <row r="63">
      <c r="A63" s="29" t="inlineStr"/>
    </row>
    <row r="64">
      <c r="A64" s="29" t="inlineStr">
        <is>
          <t>Private Function RequirementsText() As String</t>
        </is>
      </c>
    </row>
    <row r="65">
      <c r="A65" s="29" t="inlineStr">
        <is>
          <t xml:space="preserve">    Dim nl As String</t>
        </is>
      </c>
    </row>
    <row r="66">
      <c r="A66" s="29" t="inlineStr">
        <is>
          <t xml:space="preserve">    nl = vbCrLf</t>
        </is>
      </c>
    </row>
    <row r="67">
      <c r="A67" s="29" t="inlineStr">
        <is>
          <t xml:space="preserve">    RequirementsText = "pandas&gt;=1.5" &amp; nl &amp; "openpyxl&gt;=3.0" &amp; nl</t>
        </is>
      </c>
    </row>
    <row r="68">
      <c r="A68" s="29" t="inlineStr">
        <is>
          <t>End Function</t>
        </is>
      </c>
    </row>
    <row r="69">
      <c r="A69" s="29" t="inlineStr"/>
    </row>
    <row r="70">
      <c r="A70" s="29" t="inlineStr">
        <is>
          <t>Private Function RunText() As String</t>
        </is>
      </c>
    </row>
    <row r="71">
      <c r="A71" s="29" t="inlineStr">
        <is>
          <t xml:space="preserve">    Dim nl As String, q As String, wb As String</t>
        </is>
      </c>
    </row>
    <row r="72">
      <c r="A72" s="29" t="inlineStr">
        <is>
          <t xml:space="preserve">    nl = vbCrLf</t>
        </is>
      </c>
    </row>
    <row r="73">
      <c r="A73" s="29" t="inlineStr">
        <is>
          <t xml:space="preserve">    q = Chr(34)</t>
        </is>
      </c>
    </row>
    <row r="74">
      <c r="A74" s="29" t="inlineStr">
        <is>
          <t xml:space="preserve">    wb = ThisWorkbook.Name</t>
        </is>
      </c>
    </row>
    <row r="75">
      <c r="A75" s="29" t="inlineStr">
        <is>
          <t xml:space="preserve">    RunText = _</t>
        </is>
      </c>
    </row>
    <row r="76">
      <c r="A76" s="29" t="inlineStr">
        <is>
          <t xml:space="preserve">        "EDGAR Criticized/Classified Tracker -- run from PowerShell (workbook must be CLOSED)" &amp; nl &amp; nl &amp; _</t>
        </is>
      </c>
    </row>
    <row r="77">
      <c r="A77" s="29" t="inlineStr">
        <is>
          <t xml:space="preserve">        "1) Install dependencies (once):" &amp; nl &amp; _</t>
        </is>
      </c>
    </row>
    <row r="78">
      <c r="A78" s="29" t="inlineStr">
        <is>
          <t xml:space="preserve">        "   python -m pip install -r requirements.txt" &amp; nl &amp; nl &amp; _</t>
        </is>
      </c>
    </row>
    <row r="79">
      <c r="A79" s="29" t="inlineStr">
        <is>
          <t xml:space="preserve">        "2) Try-the-button demo data (offline, deterministic, no User-Agent needed):" &amp; nl &amp; _</t>
        </is>
      </c>
    </row>
    <row r="80">
      <c r="A80" s="29" t="inlineStr">
        <is>
          <t xml:space="preserve">        "   python .\runner.py --workbook " &amp; q &amp; ".\" &amp; wb &amp; q &amp; " --demo" &amp; nl &amp; nl &amp; _</t>
        </is>
      </c>
    </row>
    <row r="81">
      <c r="A81" s="29" t="inlineStr">
        <is>
          <t xml:space="preserve">        "3) Live data (SEC EDGAR -- KEYLESS, no API key or account, BUT you must first" &amp; nl &amp; _</t>
        </is>
      </c>
    </row>
    <row r="82">
      <c r="A82" s="29" t="inlineStr">
        <is>
          <t xml:space="preserve">        "   set edgar_user_agent in the _config tab to " &amp; q &amp; "{your org} {your email}" &amp; q &amp; ";" &amp; nl &amp; _</t>
        </is>
      </c>
    </row>
    <row r="83">
      <c r="A83" s="29" t="inlineStr">
        <is>
          <t xml:space="preserve">        "   SEC fair-access policy requires a declared User-Agent on every request):" &amp; nl &amp; _</t>
        </is>
      </c>
    </row>
    <row r="84">
      <c r="A84" s="29" t="inlineStr">
        <is>
          <t xml:space="preserve">        "   python .\runner.py --workbook " &amp; q &amp; ".\" &amp; wb &amp; q &amp; nl &amp; nl &amp; _</t>
        </is>
      </c>
    </row>
    <row r="85">
      <c r="A85" s="29" t="inlineStr">
        <is>
          <t xml:space="preserve">        "4) Find a company's CIK to add to the _config [PEERS] table:" &amp; nl &amp; _</t>
        </is>
      </c>
    </row>
    <row r="86">
      <c r="A86" s="29" t="inlineStr">
        <is>
          <t xml:space="preserve">        "   python .\runner.py --workbook " &amp; q &amp; ".\" &amp; wb &amp; q &amp; " --lookup " &amp; q &amp; "Frost" &amp; q &amp; nl &amp; nl &amp; _</t>
        </is>
      </c>
    </row>
    <row r="87">
      <c r="A87" s="29" t="inlineStr">
        <is>
          <t xml:space="preserve">        "5) Tie a bank-quarter out against the filed 10-Q (value + members + accession + URL):" &amp; nl &amp; _</t>
        </is>
      </c>
    </row>
    <row r="88">
      <c r="A88" s="29" t="inlineStr">
        <is>
          <t xml:space="preserve">        "   python .\runner.py --workbook " &amp; q &amp; ".\" &amp; wb &amp; q &amp; " --tieout 35527 2026-03-31" &amp; nl &amp; nl &amp; _</t>
        </is>
      </c>
    </row>
    <row r="89">
      <c r="A89" s="29" t="inlineStr">
        <is>
          <t xml:space="preserve">        "6) Connectivity self-test (corporate proxies often block sec.gov):" &amp; nl &amp; _</t>
        </is>
      </c>
    </row>
    <row r="90">
      <c r="A90" s="29" t="inlineStr">
        <is>
          <t xml:space="preserve">        "   python .\runner.py --workbook " &amp; q &amp; ".\" &amp; wb &amp; q &amp; " --selftest" &amp; nl &amp; nl &amp; _</t>
        </is>
      </c>
    </row>
    <row r="91">
      <c r="A91" s="29" t="inlineStr">
        <is>
          <t xml:space="preserve">        "The peer list is the _config [PEERS] table: slot | cik | name | ticker | active." &amp; nl &amp; _</t>
        </is>
      </c>
    </row>
    <row r="92">
      <c r="A92" s="29" t="inlineStr">
        <is>
          <t xml:space="preserve">        "Add a bank = fill a free slot row + re-run (no rebuild). Remove = active FALSE." &amp; nl &amp; _</t>
        </is>
      </c>
    </row>
    <row r="93">
      <c r="A93" s="29" t="inlineStr">
        <is>
          <t xml:space="preserve">        "More banks than built slots and the runner tells you the exact rebuild command." &amp; nl &amp; _</t>
        </is>
      </c>
    </row>
    <row r="94">
      <c r="A94" s="29" t="inlineStr">
        <is>
          <t xml:space="preserve">        "New disclosure members bootstrap into [MEMBER_MAP] as unmapped -- map by hand, re-run." &amp; nl &amp; nl &amp; _</t>
        </is>
      </c>
    </row>
    <row r="95">
      <c r="A95" s="29" t="inlineStr">
        <is>
          <t xml:space="preserve">        "If 'python' is not found, use 'py' instead. Reopen the workbook afterward." &amp; nl</t>
        </is>
      </c>
    </row>
    <row r="96">
      <c r="A96" s="29" t="inlineStr">
        <is>
          <t>End Function</t>
        </is>
      </c>
    </row>
    <row r="97">
      <c r="A97" s="29" t="inlineStr"/>
    </row>
    <row r="98">
      <c r="A98" s="29" t="inlineStr">
        <is>
          <t>Private Sub WriteTextFile(filePath As String, content As String)</t>
        </is>
      </c>
    </row>
    <row r="99">
      <c r="A99" s="29" t="inlineStr">
        <is>
          <t xml:space="preserve">    Dim fso As Object, ts As Object</t>
        </is>
      </c>
    </row>
    <row r="100">
      <c r="A100" s="29" t="inlineStr">
        <is>
          <t xml:space="preserve">    Set fso = CreateObject("Scripting.FileSystemObject")</t>
        </is>
      </c>
    </row>
    <row r="101">
      <c r="A101" s="29" t="inlineStr">
        <is>
          <t xml:space="preserve">    Set ts = fso.CreateTextFile(filePath, True, False)</t>
        </is>
      </c>
    </row>
    <row r="102">
      <c r="A102" s="29" t="inlineStr">
        <is>
          <t xml:space="preserve">    ts.Write content</t>
        </is>
      </c>
    </row>
    <row r="103">
      <c r="A103" s="29" t="inlineStr">
        <is>
          <t xml:space="preserve">    ts.Close</t>
        </is>
      </c>
    </row>
    <row r="104">
      <c r="A104" s="29" t="inlineStr">
        <is>
          <t>End Sub</t>
        </is>
      </c>
    </row>
    <row r="105">
      <c r="A105" s="29" t="inlineStr"/>
    </row>
    <row r="106">
      <c r="A106" s="29" t="inlineStr">
        <is>
          <t>' Write one tab's column A (one source line per cell) to a UTF-8 text file.</t>
        </is>
      </c>
    </row>
    <row r="107">
      <c r="A107" s="29" t="inlineStr">
        <is>
          <t>' ADODB.Stream writes real UTF-8 (FSO would write ANSI, and Python, which reads</t>
        </is>
      </c>
    </row>
    <row r="108">
      <c r="A108" s="29" t="inlineStr">
        <is>
          <t>' source as UTF-8, would raise SyntaxError on any non-ASCII byte).</t>
        </is>
      </c>
    </row>
    <row r="109">
      <c r="A109" s="29" t="inlineStr">
        <is>
          <t>Private Sub WriteTabToFile(tabName As String, filePath As String)</t>
        </is>
      </c>
    </row>
    <row r="110">
      <c r="A110" s="29" t="inlineStr">
        <is>
          <t xml:space="preserve">    Dim ws As Worksheet, lastRow As Long, r As Long, body As String</t>
        </is>
      </c>
    </row>
    <row r="111">
      <c r="A111" s="29" t="inlineStr">
        <is>
          <t xml:space="preserve">    Set ws = ThisWorkbook.Worksheets(tabName)</t>
        </is>
      </c>
    </row>
    <row r="112">
      <c r="A112" s="29" t="inlineStr">
        <is>
          <t xml:space="preserve">    lastRow = ws.Cells(ws.Rows.Count, 1).End(xlUp).Row</t>
        </is>
      </c>
    </row>
    <row r="113">
      <c r="A113" s="29" t="inlineStr">
        <is>
          <t xml:space="preserve">    For r = 1 To lastRow</t>
        </is>
      </c>
    </row>
    <row r="114">
      <c r="A114" s="29" t="inlineStr">
        <is>
          <t xml:space="preserve">        body = body &amp; CStr(ws.Cells(r, 1).Value) &amp; vbLf</t>
        </is>
      </c>
    </row>
    <row r="115">
      <c r="A115" s="29" t="inlineStr">
        <is>
          <t xml:space="preserve">    Next r</t>
        </is>
      </c>
    </row>
    <row r="116">
      <c r="A116" s="29" t="inlineStr">
        <is>
          <t xml:space="preserve">    Dim stm As Object</t>
        </is>
      </c>
    </row>
    <row r="117">
      <c r="A117" s="29" t="inlineStr">
        <is>
          <t xml:space="preserve">    Set stm = CreateObject("ADODB.Stream")</t>
        </is>
      </c>
    </row>
    <row r="118">
      <c r="A118" s="29" t="inlineStr">
        <is>
          <t xml:space="preserve">    stm.Type = 2                 ' adTypeText</t>
        </is>
      </c>
    </row>
    <row r="119">
      <c r="A119" s="29" t="inlineStr">
        <is>
          <t xml:space="preserve">    stm.Charset = "utf-8"</t>
        </is>
      </c>
    </row>
    <row r="120">
      <c r="A120" s="29" t="inlineStr">
        <is>
          <t xml:space="preserve">    stm.Open</t>
        </is>
      </c>
    </row>
    <row r="121">
      <c r="A121" s="29" t="inlineStr">
        <is>
          <t xml:space="preserve">    stm.WriteText body</t>
        </is>
      </c>
    </row>
    <row r="122">
      <c r="A122" s="29" t="inlineStr">
        <is>
          <t xml:space="preserve">    stm.SaveToFile filePath, 2   ' adSaveCreateOverWrite</t>
        </is>
      </c>
    </row>
    <row r="123">
      <c r="A123" s="29" t="inlineStr">
        <is>
          <t xml:space="preserve">    stm.Close</t>
        </is>
      </c>
    </row>
    <row r="124">
      <c r="A124" s="29" t="inlineStr">
        <is>
          <t>End Sub</t>
        </is>
      </c>
    </row>
    <row r="125">
      <c r="A125" s="29" t="inlineStr"/>
    </row>
    <row r="126">
      <c r="A126" s="29" t="inlineStr">
        <is>
          <t>Private Sub SetStatus(state As String, msg As String)</t>
        </is>
      </c>
    </row>
    <row r="127">
      <c r="A127" s="29" t="inlineStr">
        <is>
          <t xml:space="preserve">    Dim ws As Worksheet</t>
        </is>
      </c>
    </row>
    <row r="128">
      <c r="A128" s="29" t="inlineStr">
        <is>
          <t xml:space="preserve">    On Error Resume Next</t>
        </is>
      </c>
    </row>
    <row r="129">
      <c r="A129" s="29" t="inlineStr">
        <is>
          <t xml:space="preserve">    Set ws = ThisWorkbook.Worksheets(STATUS_SHEET)</t>
        </is>
      </c>
    </row>
    <row r="130">
      <c r="A130" s="29" t="inlineStr">
        <is>
          <t xml:space="preserve">    If ws Is Nothing Then Exit Sub</t>
        </is>
      </c>
    </row>
    <row r="131">
      <c r="A131" s="29" t="inlineStr">
        <is>
          <t xml:space="preserve">    ' Column L (12), row 4 -- the masthead status panel (free of the merged</t>
        </is>
      </c>
    </row>
    <row r="132">
      <c r="A132" s="29" t="inlineStr">
        <is>
          <t xml:space="preserve">    ' banner/KPI cells; the runner fills rows 1-3).</t>
        </is>
      </c>
    </row>
    <row r="133">
      <c r="A133" s="29" t="inlineStr">
        <is>
          <t xml:space="preserve">    ws.Cells(4, 12).Value = state &amp; " -- " &amp; msg</t>
        </is>
      </c>
    </row>
    <row r="134">
      <c r="A134" s="29" t="inlineStr">
        <is>
          <t>End Sub</t>
        </is>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136"/>
  <sheetViews>
    <sheetView showGridLines="0" workbookViewId="0">
      <selection activeCell="A1" sqref="A1"/>
    </sheetView>
  </sheetViews>
  <sheetFormatPr baseColWidth="8" defaultRowHeight="15"/>
  <cols>
    <col width="100" customWidth="1" min="1" max="1"/>
  </cols>
  <sheetData>
    <row r="1">
      <c r="A1" s="26" t="inlineStr">
        <is>
          <t>EDGAR CRITICIZED/CLASSIFIED TRACKER -- README</t>
        </is>
      </c>
    </row>
    <row r="2">
      <c r="A2" t="inlineStr">
        <is>
          <t>=============================================</t>
        </is>
      </c>
    </row>
    <row r="3">
      <c r="A3" t="inlineStr"/>
    </row>
    <row r="4">
      <c r="A4" s="26" t="inlineStr">
        <is>
          <t>WHAT THIS IS</t>
        </is>
      </c>
    </row>
    <row r="5">
      <c r="A5" t="inlineStr">
        <is>
          <t xml:space="preserve">  A self-contained, reusable template answering: "Whose COMMERCIAL book is</t>
        </is>
      </c>
    </row>
    <row r="6">
      <c r="A6" t="inlineStr">
        <is>
          <t xml:space="preserve">  being risk-rated down -- before delinquency shows it?" One workbook pulls</t>
        </is>
      </c>
    </row>
    <row r="7">
      <c r="A7" t="inlineStr">
        <is>
          <t xml:space="preserve">  each competitor holding company's own filed 10-Q/10-K Credit Quality</t>
        </is>
      </c>
    </row>
    <row r="8">
      <c r="A8" t="inlineStr">
        <is>
          <t xml:space="preserve">  Indicators note (ASC 326-20-50-5: amortized cost by internal credit grade,</t>
        </is>
      </c>
    </row>
    <row r="9">
      <c r="A9" t="inlineStr">
        <is>
          <t xml:space="preserve">  by class, quarterly) straight from SEC EDGAR -- keyless, public domain --</t>
        </is>
      </c>
    </row>
    <row r="10">
      <c r="A10" t="inlineStr">
        <is>
          <t xml:space="preserve">  plus an 8-K credit-event lane, and presents banks-as-rows dashboards with</t>
        </is>
      </c>
    </row>
    <row r="11">
      <c r="A11" t="inlineStr">
        <is>
          <t xml:space="preserve">  criticized/classified ratios, migration deltas, class mix, and a ranked</t>
        </is>
      </c>
    </row>
    <row r="12">
      <c r="A12" t="inlineStr">
        <is>
          <t xml:space="preserve">  Watchlist.</t>
        </is>
      </c>
    </row>
    <row r="13">
      <c r="A13" t="inlineStr"/>
    </row>
    <row r="14">
      <c r="A14" t="inlineStr">
        <is>
          <t>THE TWO-TRACK DESIGN (why this template exists)</t>
        </is>
      </c>
    </row>
    <row r="15">
      <c r="A15" t="inlineStr">
        <is>
          <t xml:space="preserve">  Commercial credit deteriorates through RISK RATINGS long before it shows</t>
        </is>
      </c>
    </row>
    <row r="16">
      <c r="A16" t="inlineStr">
        <is>
          <t xml:space="preserve">  in delinquency; consumer credit shows in DQ/NCO directly. The FDIC Bank</t>
        </is>
      </c>
    </row>
    <row r="17">
      <c r="A17" t="inlineStr">
        <is>
          <t xml:space="preserve">  Peer Monitor carries the consumer DQ/NCO track and the commercial</t>
        </is>
      </c>
    </row>
    <row r="18">
      <c r="A18" t="inlineStr">
        <is>
          <t xml:space="preserve">  Call-Report floor; THIS tracker carries the commercial criticized/</t>
        </is>
      </c>
    </row>
    <row r="19">
      <c r="A19" t="inlineStr">
        <is>
          <t xml:space="preserve">  classified view from the banks' own SEC filings. Same [PEERS] slot</t>
        </is>
      </c>
    </row>
    <row r="20">
      <c r="A20" t="inlineStr">
        <is>
          <t xml:space="preserve">  mechanism, same contract, complementary lanes.</t>
        </is>
      </c>
    </row>
    <row r="21">
      <c r="A21" t="inlineStr"/>
    </row>
    <row r="22">
      <c r="A22" t="inlineStr">
        <is>
          <t>DISCLOSURE FAMILIES (the honesty core -- BUILD SPEC 0.6)</t>
        </is>
      </c>
    </row>
    <row r="23">
      <c r="A23" t="inlineStr">
        <is>
          <t xml:space="preserve">  Banks disclose commercial credit quality in DIALECTS. Each bank carries a</t>
        </is>
      </c>
    </row>
    <row r="24">
      <c r="A24" t="inlineStr">
        <is>
          <t xml:space="preserve">  family flag derived from its [MEMBER_MAP] rows:</t>
        </is>
      </c>
    </row>
    <row r="25">
      <c r="A25" t="inlineStr">
        <is>
          <t xml:space="preserve">    grades_full     Pass/Special Mention/Substandard/Doubtful(/Loss) --</t>
        </is>
      </c>
    </row>
    <row r="26">
      <c r="A26" t="inlineStr">
        <is>
          <t xml:space="preserve">                    Tier 1 AND Tier 2 metrics (criticized, classified, SM).</t>
        </is>
      </c>
    </row>
    <row r="27">
      <c r="A27" t="inlineStr">
        <is>
          <t xml:space="preserve">    criticized_only Pass/Criticized-accruing/Criticized-nonaccruing (e.g.</t>
        </is>
      </c>
    </row>
    <row r="28">
      <c r="A28" t="inlineStr">
        <is>
          <t xml:space="preserve">                    KeyCorp, M&amp;T) -- Tier 1 only; classified/SM render</t>
        </is>
      </c>
    </row>
    <row r="29">
      <c r="A29" t="inlineStr">
        <is>
          <t xml:space="preserve">                    "N/A (family)", NEVER approximated.</t>
        </is>
      </c>
    </row>
    <row r="30">
      <c r="A30" t="inlineStr">
        <is>
          <t xml:space="preserve">    ig_nig          Investment/Non-investment grade only (e.g. USB; JPM) --</t>
        </is>
      </c>
    </row>
    <row r="31">
      <c r="A31" t="inlineStr">
        <is>
          <t xml:space="preserve">                    criticized is NOT computable from XBRL; every ratio</t>
        </is>
      </c>
    </row>
    <row r="32">
      <c r="A32" t="inlineStr">
        <is>
          <t xml:space="preserve">                    renders "N/A (family)". Their criticized numbers live</t>
        </is>
      </c>
    </row>
    <row r="33">
      <c r="A33" t="inlineStr">
        <is>
          <t xml:space="preserve">                    in MD&amp;A text -- the full-text-search fallback is v1.1.</t>
        </is>
      </c>
    </row>
    <row r="34">
      <c r="A34" t="inlineStr">
        <is>
          <t xml:space="preserve">    unmapped        No [MEMBER_MAP] rows yet -- N/A until mapped.</t>
        </is>
      </c>
    </row>
    <row r="35">
      <c r="A35" t="inlineStr">
        <is>
          <t xml:space="preserve">  Research estimate (UNVERIFIED -- validate live): ~60-75% of $10B+</t>
        </is>
      </c>
    </row>
    <row r="36">
      <c r="A36" t="inlineStr">
        <is>
          <t xml:space="preserve">  regionals disclose SM/Substandard separately; &gt;90% support at least</t>
        </is>
      </c>
    </row>
    <row r="37">
      <c r="A37" t="inlineStr">
        <is>
          <t xml:space="preserve">  pass-vs-criticized.</t>
        </is>
      </c>
    </row>
    <row r="38">
      <c r="A38" t="inlineStr"/>
    </row>
    <row r="39">
      <c r="A39" t="inlineStr">
        <is>
          <t>THE MEMBER BOOTSTRAP (contract sec 13 -- never guess)</t>
        </is>
      </c>
    </row>
    <row r="40">
      <c r="A40" t="inlineStr">
        <is>
          <t xml:space="preserve">  Filers use EXTENSION members for non-canonical buckets (criticized-</t>
        </is>
      </c>
    </row>
    <row r="41">
      <c r="A41" t="inlineStr">
        <is>
          <t xml:space="preserve">  accruing, OLEM, ...). On every run, members not in [MEMBER_MAP] are</t>
        </is>
      </c>
    </row>
    <row r="42">
      <c r="A42" t="inlineStr">
        <is>
          <t xml:space="preserve">  APPENDED there as grade="unmapped" (into the provisioned blank rows),</t>
        </is>
      </c>
    </row>
    <row r="43">
      <c r="A43" t="inlineStr">
        <is>
          <t xml:space="preserve">  flagged in the digest/email, EXCLUDED from every numerator, and included</t>
        </is>
      </c>
    </row>
    <row r="44">
      <c r="A44" t="inlineStr">
        <is>
          <t xml:space="preserve">  in the amortized-cost denominator (they are part of the total -- a fact,</t>
        </is>
      </c>
    </row>
    <row r="45">
      <c r="A45" t="inlineStr">
        <is>
          <t xml:space="preserve">  not a guess). Map them by hand (edit the grade cell) and re-run. Same</t>
        </is>
      </c>
    </row>
    <row r="46">
      <c r="A46" t="inlineStr">
        <is>
          <t xml:space="preserve">  bootstrap for class members in [CLASS_MAP] (unmapped classes are excluded</t>
        </is>
      </c>
    </row>
    <row r="47">
      <c r="A47" t="inlineStr">
        <is>
          <t xml:space="preserve">  from rollups entirely). Grade "ignore" exists for filer-tagged SUBTOTALS</t>
        </is>
      </c>
    </row>
    <row r="48">
      <c r="A48" t="inlineStr">
        <is>
          <t xml:space="preserve">  (us-gaap:CriticizedMember parents the adverse leaves -- summing both</t>
        </is>
      </c>
    </row>
    <row r="49">
      <c r="A49" t="inlineStr">
        <is>
          <t xml:space="preserve">  would double-count).</t>
        </is>
      </c>
    </row>
    <row r="50">
      <c r="A50" t="inlineStr"/>
    </row>
    <row r="51">
      <c r="A51" s="26" t="inlineStr">
        <is>
          <t>ONE-TIME SETUP</t>
        </is>
      </c>
    </row>
    <row r="52">
      <c r="A52" t="inlineStr">
        <is>
          <t xml:space="preserve">  1. Install Python 3 (add to PATH) and the dependencies:</t>
        </is>
      </c>
    </row>
    <row r="53">
      <c r="A53" t="inlineStr">
        <is>
          <t xml:space="preserve">         pip install pandas openpyxl</t>
        </is>
      </c>
    </row>
    <row r="54">
      <c r="A54" t="inlineStr">
        <is>
          <t xml:space="preserve">  2. Enable macros when prompted (the Extract button needs them).</t>
        </is>
      </c>
    </row>
    <row r="55">
      <c r="A55" t="inlineStr">
        <is>
          <t xml:space="preserve">  3. FOR LIVE RUNS ONLY: set edgar_user_agent in _config to</t>
        </is>
      </c>
    </row>
    <row r="56">
      <c r="A56" t="inlineStr">
        <is>
          <t xml:space="preserve">     "{your org} {your email}" -- SEC fair-access policy REQUIRES a</t>
        </is>
      </c>
    </row>
    <row r="57">
      <c r="A57" t="inlineStr">
        <is>
          <t xml:space="preserve">     declared User-Agent (blank/generic = silent 403 + ~10-min IP block).</t>
        </is>
      </c>
    </row>
    <row r="58">
      <c r="A58" t="inlineStr">
        <is>
          <t xml:space="preserve">     Still KEYLESS: no API key, no account.</t>
        </is>
      </c>
    </row>
    <row r="59">
      <c r="A59" t="inlineStr"/>
    </row>
    <row r="60">
      <c r="A60" t="inlineStr">
        <is>
          <t>RUN IT  (the workbook is the finished product; you only add data)</t>
        </is>
      </c>
    </row>
    <row r="61">
      <c r="A61" t="inlineStr">
        <is>
          <t xml:space="preserve">  1. Alt+F8 -&gt; ExtractFiles: writes runner.py (from _code_py),</t>
        </is>
      </c>
    </row>
    <row r="62">
      <c r="A62" t="inlineStr">
        <is>
          <t xml:space="preserve">     requirements.txt and RUN.txt next to the workbook. NOTHING runs</t>
        </is>
      </c>
    </row>
    <row r="63">
      <c r="A63" t="inlineStr">
        <is>
          <t xml:space="preserve">     inside Excel.</t>
        </is>
      </c>
    </row>
    <row r="64">
      <c r="A64" t="inlineStr">
        <is>
          <t xml:space="preserve">  2. SAVE and CLOSE the workbook.</t>
        </is>
      </c>
    </row>
    <row r="65">
      <c r="A65" t="inlineStr">
        <is>
          <t xml:space="preserve">  3. From PowerShell (see RUN.txt):</t>
        </is>
      </c>
    </row>
    <row r="66">
      <c r="A66" t="inlineStr">
        <is>
          <t xml:space="preserve">       - Offline demo:      python runner.py -w &lt;book&gt;.xlsm --demo</t>
        </is>
      </c>
    </row>
    <row r="67">
      <c r="A67" t="inlineStr">
        <is>
          <t xml:space="preserve">       - Live EDGAR:        python runner.py -w &lt;book&gt;.xlsm</t>
        </is>
      </c>
    </row>
    <row r="68">
      <c r="A68" t="inlineStr">
        <is>
          <t xml:space="preserve">       - Find a CIK:        python runner.py -w &lt;book&gt;.xlsm --lookup "Frost"</t>
        </is>
      </c>
    </row>
    <row r="69">
      <c r="A69" t="inlineStr">
        <is>
          <t xml:space="preserve">       - Verify a value:    python runner.py -w &lt;book&gt;.xlsm --tieout 35527</t>
        </is>
      </c>
    </row>
    <row r="70">
      <c r="A70" t="inlineStr">
        <is>
          <t xml:space="preserve">       - Connectivity:      python runner.py -w &lt;book&gt;.xlsm --selftest</t>
        </is>
      </c>
    </row>
    <row r="71">
      <c r="A71" t="inlineStr">
        <is>
          <t xml:space="preserve">  4. Reopen the workbook -- the formulas recalc into the dashboards.</t>
        </is>
      </c>
    </row>
    <row r="72">
      <c r="A72" t="inlineStr"/>
    </row>
    <row r="73">
      <c r="A73" t="inlineStr">
        <is>
          <t>THE DATA PATH (research-verified -- COVERAGE_RESEARCH_EDGAR.md)</t>
        </is>
      </c>
    </row>
    <row r="74">
      <c r="A74" t="inlineStr">
        <is>
          <t xml:space="preserve">  Stage 1: data.sec.gov/submissions/CIK{10-digit}.json -- COLUMNAR arrays;</t>
        </is>
      </c>
    </row>
    <row r="75">
      <c r="A75" t="inlineStr">
        <is>
          <t xml:space="preserve">    latest 10-Q/10-K per calendar quarter (Q4 = the 10-K; no Q4 10-Q</t>
        </is>
      </c>
    </row>
    <row r="76">
      <c r="A76" t="inlineStr">
        <is>
          <t xml:space="preserve">    exists -- expect the Q4 point 60-90 days after year-end, trap E6);</t>
        </is>
      </c>
    </row>
    <row r="77">
      <c r="A77" t="inlineStr">
        <is>
          <t xml:space="preserve">    10-Q/A amendments deduped by latest acceptanceDateTime (E7). The 8-K</t>
        </is>
      </c>
    </row>
    <row r="78">
      <c r="A78" t="inlineStr">
        <is>
          <t xml:space="preserve">    lane is harvested from the SAME response's items[] array -- zero extra</t>
        </is>
      </c>
    </row>
    <row r="79">
      <c r="A79" t="inlineStr">
        <is>
          <t xml:space="preserve">    requests: 2.04 debt acceleration, 2.06 impairment, 4.02 non-reliance,</t>
        </is>
      </c>
    </row>
    <row r="80">
      <c r="A80" t="inlineStr">
        <is>
          <t xml:space="preserve">    1.03 receivership (any of 2.04/4.02/1.03 = automatic WATCH), 2.02</t>
        </is>
      </c>
    </row>
    <row r="81">
      <c r="A81" t="inlineStr">
        <is>
          <t xml:space="preserve">    informational.</t>
        </is>
      </c>
    </row>
    <row r="82">
      <c r="A82" t="inlineStr">
        <is>
          <t xml:space="preserve">  Stage 2: each filing directory's index.json -&gt; the EDGAR-generated</t>
        </is>
      </c>
    </row>
    <row r="83">
      <c r="A83" t="inlineStr">
        <is>
          <t xml:space="preserve">    EXTRACTED XBRL INSTANCE (*_htm.xml) -&gt; stdlib XML parse. THE DECISIVE</t>
        </is>
      </c>
    </row>
    <row r="84">
      <c r="A84" t="inlineStr">
        <is>
          <t xml:space="preserve">    RESEARCH FINDING: SEC's convenience JSON APIs (companyfacts/frames) are</t>
        </is>
      </c>
    </row>
    <row r="85">
      <c r="A85" t="inlineStr">
        <is>
          <t xml:space="preserve">    structurally NON-DIMENSIONAL and cannot carry grade x class tables --</t>
        </is>
      </c>
    </row>
    <row r="86">
      <c r="A86" t="inlineStr">
        <is>
          <t xml:space="preserve">    the instance bypass is the only clean keyless path (E1).</t>
        </is>
      </c>
    </row>
    <row r="87">
      <c r="A87" t="inlineStr">
        <is>
          <t xml:space="preserve">  Facts: FinancingReceivableBeforeAllowanceForCreditLoss and its</t>
        </is>
      </c>
    </row>
    <row r="88">
      <c r="A88" t="inlineStr">
        <is>
          <t xml:space="preserve">    ExcludingAccruedInterest twin (per-bank preference recorded in the TAG</t>
        </is>
      </c>
    </row>
    <row r="89">
      <c r="A89" t="inlineStr">
        <is>
          <t xml:space="preserve">    column, E2), dimensioned InternalCreditAssessmentAxis x class axis.</t>
        </is>
      </c>
    </row>
    <row r="90">
      <c r="A90" t="inlineStr">
        <is>
          <t xml:space="preserve">    VINTAGE disclosures are LINE ITEMS, not an axis: exact-tag matching</t>
        </is>
      </c>
    </row>
    <row r="91">
      <c r="A91" t="inlineStr">
        <is>
          <t xml:space="preserve">    ignores them -- summing vintage rows on top of grade totals would</t>
        </is>
      </c>
    </row>
    <row r="92">
      <c r="A92" t="inlineStr">
        <is>
          <t xml:space="preserve">    double-count (E3). Member qnames stay namespace-qualified (E4). CIK is</t>
        </is>
      </c>
    </row>
    <row r="93">
      <c r="A93" t="inlineStr">
        <is>
          <t xml:space="preserve">    10-digit padded on data.sec.gov, UNPADDED in /Archives (E8).</t>
        </is>
      </c>
    </row>
    <row r="94">
      <c r="A94" t="inlineStr"/>
    </row>
    <row r="95">
      <c r="A95" t="inlineStr">
        <is>
          <t>METRICS + THRESHOLDS (heuristic, labeled -- edit in _config)</t>
        </is>
      </c>
    </row>
    <row r="96">
      <c r="A96" t="inlineStr">
        <is>
          <t xml:space="preserve">  criticized_ratio  (SM+Substandard+Doubtful+Loss | native criticized rows)</t>
        </is>
      </c>
    </row>
    <row r="97">
      <c r="A97" t="inlineStr">
        <is>
          <t xml:space="preserve">                    / total commercial amortized cost. WATCH 4 / ALERT 6.</t>
        </is>
      </c>
    </row>
    <row r="98">
      <c r="A98" t="inlineStr">
        <is>
          <t xml:space="preserve">  classified_ratio  Substandard+Doubtful+Loss / total (grades_full only).</t>
        </is>
      </c>
    </row>
    <row r="99">
      <c r="A99" t="inlineStr">
        <is>
          <t xml:space="preserve">  sm_ratio          Special Mention / total (grades_full only). W 2 / A 3.</t>
        </is>
      </c>
    </row>
    <row r="100">
      <c r="A100" t="inlineStr">
        <is>
          <t xml:space="preserve">  crit_qoq_delta    pp change vs prior quarter. WATCH +0.5 / ALERT +1.0.</t>
        </is>
      </c>
    </row>
    <row r="101">
      <c r="A101" t="inlineStr">
        <is>
          <t xml:space="preserve">  crit_yoy_delta, crit_growth, class mix (C&amp;I/CRE/construction/other).</t>
        </is>
      </c>
    </row>
    <row r="102">
      <c r="A102" t="inlineStr">
        <is>
          <t xml:space="preserve">  8-K lane          counts + latest date per item, trailing 4 quarters,</t>
        </is>
      </c>
    </row>
    <row r="103">
      <c r="A103" t="inlineStr">
        <is>
          <t xml:space="preserve">                    accession links; 2.04/4.02/1.03 = auto-WATCH.</t>
        </is>
      </c>
    </row>
    <row r="104">
      <c r="A104" t="inlineStr">
        <is>
          <t xml:space="preserve">  Uniform definitions QUOTED with citations on the _provenance tab (2004</t>
        </is>
      </c>
    </row>
    <row r="105">
      <c r="A105" t="inlineStr">
        <is>
          <t xml:space="preserve">  Interagency Agreement; SR 93-30; OCC Rating Credit Risk handbook).</t>
        </is>
      </c>
    </row>
    <row r="106">
      <c r="A106" t="inlineStr">
        <is>
          <t xml:space="preserve">  Classified = Substandard+Doubtful+Loss; Criticized = SM + Classified.</t>
        </is>
      </c>
    </row>
    <row r="107">
      <c r="A107" t="inlineStr"/>
    </row>
    <row r="108">
      <c r="A108" t="inlineStr">
        <is>
          <t>HONEST CAVEATS (read before trusting a quarter)</t>
        </is>
      </c>
    </row>
    <row r="109">
      <c r="A109" t="inlineStr">
        <is>
          <t xml:space="preserve">  - APPLICATION TIMING (E9): definitions are uniform; WHEN a bank downgrades</t>
        </is>
      </c>
    </row>
    <row r="110">
      <c r="A110" t="inlineStr">
        <is>
          <t xml:space="preserve">    is bank judgment and exam-cycle driven. QoQ jumps can be exam artifacts.</t>
        </is>
      </c>
    </row>
    <row r="111">
      <c r="A111" t="inlineStr">
        <is>
          <t xml:space="preserve">  - Q4 LAG (E6): the Q4 point arrives with the 10-K (60/75/90 days), later</t>
        </is>
      </c>
    </row>
    <row r="112">
      <c r="A112" t="inlineStr">
        <is>
          <t xml:space="preserve">    than 10-Qs (40/45 days). A Q4-missing bank is often just the calendar.</t>
        </is>
      </c>
    </row>
    <row r="113">
      <c r="A113" t="inlineStr">
        <is>
          <t xml:space="preserve">    Fiscal-year filers off calendar quarters land on their fiscal ends.</t>
        </is>
      </c>
    </row>
    <row r="114">
      <c r="A114" t="inlineStr">
        <is>
          <t xml:space="preserve">  - HC vs CERT: this tracker monitors the HOLDING COMPANY consolidation</t>
        </is>
      </c>
    </row>
    <row r="115">
      <c r="A115" t="inlineStr">
        <is>
          <t xml:space="preserve">    (SEC registrant, CIK). The FDIC template monitors the BANK charter</t>
        </is>
      </c>
    </row>
    <row r="116">
      <c r="A116" t="inlineStr">
        <is>
          <t xml:space="preserve">    (CERT). The two consolidations differ (nonbank subs, parent-only debt)</t>
        </is>
      </c>
    </row>
    <row r="117">
      <c r="A117" t="inlineStr">
        <is>
          <t xml:space="preserve">    -- reconcile approximately, never silently; automated HC&lt;-&gt;CERT</t>
        </is>
      </c>
    </row>
    <row r="118">
      <c r="A118" t="inlineStr">
        <is>
          <t xml:space="preserve">    reconciliation is out of v1.</t>
        </is>
      </c>
    </row>
    <row r="119">
      <c r="A119" t="inlineStr">
        <is>
          <t xml:space="preserve">  - STALE banks (late filer/delisted) are excluded from digest alert counts</t>
        </is>
      </c>
    </row>
    <row r="120">
      <c r="A120" t="inlineStr">
        <is>
          <t xml:space="preserve">    but their landed values still enter the EXCEL median row (Excel cannot</t>
        </is>
      </c>
    </row>
    <row r="121">
      <c r="A121" t="inlineStr">
        <is>
          <t xml:space="preserve">    see runtime staleness) -- the digest median is authoritative.</t>
        </is>
      </c>
    </row>
    <row r="122">
      <c r="A122" t="inlineStr">
        <is>
          <t xml:space="preserve">  - Unmapped grade members sit in the DENOMINATOR only (part of the total)</t>
        </is>
      </c>
    </row>
    <row r="123">
      <c r="A123" t="inlineStr">
        <is>
          <t xml:space="preserve">    and are flagged until you map them; unmapped CLASS members are excluded</t>
        </is>
      </c>
    </row>
    <row r="124">
      <c r="A124" t="inlineStr">
        <is>
          <t xml:space="preserve">    from rollups entirely until mapped.</t>
        </is>
      </c>
    </row>
    <row r="125">
      <c r="A125" t="inlineStr">
        <is>
          <t xml:space="preserve">  - PROXY/ALLOWLIST (E10): corporate proxies commonly block sec.gov. Run</t>
        </is>
      </c>
    </row>
    <row r="126">
      <c r="A126" t="inlineStr">
        <is>
          <t xml:space="preserve">    --selftest; allowlist data.sec.gov, www.sec.gov, efts.sec.gov.</t>
        </is>
      </c>
    </row>
    <row r="127">
      <c r="A127" t="inlineStr"/>
    </row>
    <row r="128">
      <c r="A128" t="inlineStr">
        <is>
          <t>NOT AVAILABLE (honestly out of scope, v1)</t>
        </is>
      </c>
    </row>
    <row r="129">
      <c r="A129" t="inlineStr">
        <is>
          <t xml:space="preserve">  - MD&amp;A full-text fallback for ig_nig banks (v1.1; efts.sec.gov lane).</t>
        </is>
      </c>
    </row>
    <row r="130">
      <c r="A130" t="inlineStr">
        <is>
          <t xml:space="preserve">  - FSNDS bulk-ZIP backfill (documented path for deep history).</t>
        </is>
      </c>
    </row>
    <row r="131">
      <c r="A131" t="inlineStr">
        <is>
          <t xml:space="preserve">  - Vintage-level stress metrics; paid data; HC&lt;-&gt;CERT auto-reconciliation.</t>
        </is>
      </c>
    </row>
    <row r="132">
      <c r="A132" t="inlineStr"/>
    </row>
    <row r="133">
      <c r="A133" t="inlineStr">
        <is>
          <t>NO AI IS INVOLVED IN THE DATA PATH. The gates, rollups, thresholds and</t>
        </is>
      </c>
    </row>
    <row r="134">
      <c r="A134" t="inlineStr">
        <is>
          <t>staleness guard are deterministic and config-driven: the same input always</t>
        </is>
      </c>
    </row>
    <row r="135">
      <c r="A135" t="inlineStr">
        <is>
          <t>yields the same workbook.</t>
        </is>
      </c>
    </row>
    <row r="136">
      <c r="A136" t="inlineStr"/>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2026-07-03T23:12:00Z</dcterms:created>
  <dcterms:modified xsi:type="dcterms:W3CDTF">2026-07-03T23:12:00Z</dcterms:modified>
</cp:coreProperties>
</file>