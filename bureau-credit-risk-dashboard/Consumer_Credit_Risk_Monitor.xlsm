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book.xml" ContentType="application/vnd.ms-excel.sheet.macroEnabled.main+xml"/>
  <Override PartName="/xl/vbaProject.bin" ContentType="application/vnd.ms-office.vbaProject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Dashboard_Balances" sheetId="1" state="visible" r:id="rId1"/>
    <sheet name="Dashboard_Delinquency" sheetId="2" state="visible" r:id="rId2"/>
    <sheet name="Dashboard_Originations" sheetId="3" state="visible" r:id="rId3"/>
    <sheet name="Watchlist" sheetId="4" state="visible" r:id="rId4"/>
    <sheet name="Raw_HHDC" sheetId="5" state="visible" r:id="rId5"/>
    <sheet name="_config" sheetId="6" state="visible" r:id="rId6"/>
    <sheet name="_code_py" sheetId="7" state="visible" r:id="rId7"/>
    <sheet name="_code_vba" sheetId="8" state="visible" r:id="rId8"/>
    <sheet name="_readme" sheetId="9" state="visible" r:id="rId9"/>
  </sheets>
  <definedNames/>
  <calcPr calcId="12451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4">
    <font>
      <name val="Calibri"/>
      <family val="2"/>
      <color theme="1"/>
      <sz val="11"/>
      <scheme val="minor"/>
    </font>
    <font>
      <name val="Calibri"/>
      <i val="1"/>
      <color rgb="0057534B"/>
      <sz val="9"/>
    </font>
    <font>
      <name val="Arial"/>
      <b val="1"/>
      <color rgb="000A0908"/>
    </font>
    <font>
      <name val="Calibri"/>
      <b val="1"/>
      <sz val="9"/>
    </font>
    <font>
      <name val="Arial"/>
      <b val="1"/>
      <color rgb="00FFFFFF"/>
      <sz val="11"/>
    </font>
    <font>
      <name val="Calibri"/>
      <color rgb="0057534B"/>
      <sz val="11"/>
    </font>
    <font>
      <name val="Consolas"/>
      <color rgb="0016130F"/>
      <sz val="9"/>
    </font>
    <font>
      <name val="Calibri"/>
      <color rgb="0016130F"/>
      <sz val="11"/>
    </font>
    <font>
      <name val="Arial"/>
      <b val="1"/>
      <color rgb="00FFFFFF"/>
      <sz val="16"/>
    </font>
    <font>
      <name val="Calibri"/>
      <color rgb="00B9B4AC"/>
      <sz val="11"/>
    </font>
    <font>
      <name val="Arial"/>
      <b val="1"/>
      <color rgb="0057534B"/>
      <sz val="9"/>
    </font>
    <font>
      <name val="Arial"/>
      <b val="1"/>
      <color rgb="000A0908"/>
      <sz val="20"/>
    </font>
    <font>
      <name val="Arial"/>
      <b val="1"/>
      <color rgb="00960019"/>
      <sz val="11"/>
    </font>
    <font>
      <name val="Calibri"/>
      <b val="1"/>
      <color rgb="00960019"/>
    </font>
  </fonts>
  <fills count="6">
    <fill>
      <patternFill/>
    </fill>
    <fill>
      <patternFill patternType="gray125"/>
    </fill>
    <fill>
      <patternFill patternType="solid">
        <fgColor rgb="0016130F"/>
      </patternFill>
    </fill>
    <fill>
      <patternFill patternType="solid">
        <fgColor rgb="000A0908"/>
      </patternFill>
    </fill>
    <fill>
      <patternFill patternType="solid">
        <fgColor rgb="00F4F1EC"/>
      </patternFill>
    </fill>
    <fill>
      <patternFill patternType="solid">
        <fgColor rgb="00F7DEDE"/>
      </patternFill>
    </fill>
  </fills>
  <borders count="6">
    <border>
      <left/>
      <right/>
      <top/>
      <bottom/>
      <diagonal/>
    </border>
    <border>
      <bottom style="thin">
        <color rgb="00E7E2D8"/>
      </bottom>
    </border>
    <border>
      <bottom style="thin">
        <color rgb="0016130F"/>
      </bottom>
    </border>
    <border>
      <bottom style="medium">
        <color rgb="00CC0000"/>
      </bottom>
    </border>
    <border>
      <top style="medium">
        <color rgb="00CC0000"/>
      </top>
    </border>
    <border>
      <top style="medium">
        <color rgb="000A0908"/>
      </top>
    </border>
  </borders>
  <cellStyleXfs count="1">
    <xf numFmtId="0" fontId="0" fillId="0" borderId="0"/>
  </cellStyleXfs>
  <cellXfs count="29">
    <xf numFmtId="0" fontId="0" fillId="0" borderId="0" pivotButton="0" quotePrefix="0" xfId="0"/>
    <xf numFmtId="0" fontId="8" fillId="3" borderId="0" applyAlignment="1" pivotButton="0" quotePrefix="0" xfId="0">
      <alignment horizontal="left" vertical="center" indent="1"/>
    </xf>
    <xf numFmtId="0" fontId="5" fillId="0" borderId="0" applyAlignment="1" pivotButton="0" quotePrefix="0" xfId="0">
      <alignment horizontal="left" vertical="center"/>
    </xf>
    <xf numFmtId="0" fontId="9" fillId="3" borderId="3" applyAlignment="1" pivotButton="0" quotePrefix="0" xfId="0">
      <alignment horizontal="left" vertical="top" indent="1"/>
    </xf>
    <xf numFmtId="0" fontId="0" fillId="0" borderId="3" pivotButton="0" quotePrefix="0" xfId="0"/>
    <xf numFmtId="0" fontId="10" fillId="4" borderId="4" applyAlignment="1" pivotButton="0" quotePrefix="0" xfId="0">
      <alignment horizontal="left" vertical="center" indent="1"/>
    </xf>
    <xf numFmtId="0" fontId="0" fillId="0" borderId="4" pivotButton="0" quotePrefix="0" xfId="0"/>
    <xf numFmtId="0" fontId="10" fillId="4" borderId="5" applyAlignment="1" pivotButton="0" quotePrefix="0" xfId="0">
      <alignment horizontal="left" vertical="center" indent="1"/>
    </xf>
    <xf numFmtId="0" fontId="0" fillId="0" borderId="5" pivotButton="0" quotePrefix="0" xfId="0"/>
    <xf numFmtId="0" fontId="1" fillId="0" borderId="0" applyAlignment="1" pivotButton="0" quotePrefix="0" xfId="0">
      <alignment horizontal="left" vertical="center"/>
    </xf>
    <xf numFmtId="0" fontId="11" fillId="4" borderId="0" applyAlignment="1" pivotButton="0" quotePrefix="0" xfId="0">
      <alignment horizontal="left" vertical="center" indent="1"/>
    </xf>
    <xf numFmtId="0" fontId="5" fillId="4" borderId="0" applyAlignment="1" pivotButton="0" quotePrefix="0" xfId="0">
      <alignment horizontal="left" vertical="center" indent="1"/>
    </xf>
    <xf numFmtId="0" fontId="4" fillId="3" borderId="2" applyAlignment="1" pivotButton="0" quotePrefix="0" xfId="0">
      <alignment horizontal="left" vertical="center"/>
    </xf>
    <xf numFmtId="0" fontId="4" fillId="3" borderId="2" applyAlignment="1" pivotButton="0" quotePrefix="0" xfId="0">
      <alignment horizontal="right" vertical="center"/>
    </xf>
    <xf numFmtId="0" fontId="4" fillId="3" borderId="2" applyAlignment="1" pivotButton="0" quotePrefix="0" xfId="0">
      <alignment horizontal="center" vertical="center"/>
    </xf>
    <xf numFmtId="0" fontId="5" fillId="0" borderId="1" pivotButton="0" quotePrefix="0" xfId="0"/>
    <xf numFmtId="0" fontId="6" fillId="0" borderId="1" pivotButton="0" quotePrefix="0" xfId="0"/>
    <xf numFmtId="0" fontId="7" fillId="0" borderId="1" pivotButton="0" quotePrefix="0" xfId="0"/>
    <xf numFmtId="2" fontId="0" fillId="0" borderId="1" applyAlignment="1" pivotButton="0" quotePrefix="0" xfId="0">
      <alignment horizontal="right" vertical="center"/>
    </xf>
    <xf numFmtId="164" fontId="0" fillId="0" borderId="1" applyAlignment="1" pivotButton="0" quotePrefix="0" xfId="0">
      <alignment horizontal="right" vertical="center"/>
    </xf>
    <xf numFmtId="0" fontId="0" fillId="0" borderId="1" pivotButton="0" quotePrefix="0" xfId="0"/>
    <xf numFmtId="0" fontId="0" fillId="0" borderId="1" applyAlignment="1" pivotButton="0" quotePrefix="0" xfId="0">
      <alignment horizontal="center" vertical="center"/>
    </xf>
    <xf numFmtId="0" fontId="12" fillId="5" borderId="0" applyAlignment="1" pivotButton="0" quotePrefix="0" xfId="0">
      <alignment vertical="top" wrapText="1"/>
    </xf>
    <xf numFmtId="0" fontId="13" fillId="0" borderId="1" pivotButton="0" quotePrefix="0" xfId="0"/>
    <xf numFmtId="0" fontId="1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2" borderId="0" pivotButton="0" quotePrefix="0" xfId="0"/>
    <xf numFmtId="0" fontId="6" fillId="0" borderId="0" pivotButton="0" quotePrefix="0" xfId="0"/>
  </cellXfs>
  <cellStyles count="1">
    <cellStyle name="Normal" xfId="0" builtinId="0" hidden="0"/>
  </cellStyles>
  <dxfs count="1">
    <dxf>
      <font>
        <name val="Arial"/>
        <b val="1"/>
        <color rgb="00960019"/>
        <sz val="11"/>
      </font>
      <fill>
        <patternFill patternType="solid">
          <fgColor rgb="00F7DED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styles" Target="styles.xml" Id="rId10" /><Relationship Type="http://schemas.openxmlformats.org/officeDocument/2006/relationships/theme" Target="theme/theme1.xml" Id="rId11" /><Relationship Id="rIdVbaProject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L15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4" customWidth="1" min="1" max="1"/>
    <col width="24" customWidth="1" min="2" max="2"/>
    <col width="40" customWidth="1" min="3" max="3"/>
    <col width="11" customWidth="1" min="4" max="4"/>
    <col width="11" customWidth="1" min="5" max="5"/>
    <col width="12" customWidth="1" min="6" max="6"/>
    <col width="14" customWidth="1" min="7" max="7"/>
    <col width="12" customWidth="1" min="8" max="8"/>
    <col width="34" customWidth="1" min="12" max="12"/>
  </cols>
  <sheetData>
    <row r="1" ht="27.6" customHeight="1">
      <c r="A1" s="1" t="inlineStr">
        <is>
          <t>Balances Dashboard</t>
        </is>
      </c>
      <c r="L1" s="2" t="n"/>
    </row>
    <row r="2" ht="18.4" customHeight="1">
      <c r="A2" s="3" t="inlineStr">
        <is>
          <t>Household debt balances by product (HHDC, 5% Equifax sample). Headline = YoY %.</t>
        </is>
      </c>
      <c r="B2" s="4" t="n"/>
      <c r="C2" s="4" t="n"/>
      <c r="D2" s="4" t="n"/>
      <c r="E2" s="4" t="n"/>
      <c r="F2" s="4" t="n"/>
      <c r="G2" s="4" t="n"/>
      <c r="H2" s="4" t="n"/>
      <c r="L2" s="2" t="n"/>
    </row>
    <row r="3">
      <c r="A3" s="5" t="inlineStr">
        <is>
          <t>SERIES IN ALERT</t>
        </is>
      </c>
      <c r="B3" s="6" t="n"/>
      <c r="C3" s="6" t="n"/>
      <c r="D3" s="5" t="inlineStr">
        <is>
          <t>SERIES IN WATCH</t>
        </is>
      </c>
      <c r="E3" s="6" t="n"/>
      <c r="F3" s="6" t="n"/>
      <c r="G3" s="7" t="inlineStr">
        <is>
          <t>SERIES TRACKED</t>
        </is>
      </c>
      <c r="H3" s="8" t="n"/>
      <c r="I3" s="8" t="n"/>
      <c r="L3" s="9" t="inlineStr">
        <is>
          <t>Anonymized 5% sample -- aggregate only</t>
        </is>
      </c>
    </row>
    <row r="4" ht="26" customHeight="1">
      <c r="A4" s="10">
        <f>COUNTIF(H8:H15,"ALERT")</f>
        <v/>
      </c>
      <c r="D4" s="10">
        <f>COUNTIF(H8:H15,"WATCH")</f>
        <v/>
      </c>
      <c r="G4" s="10">
        <f>8</f>
        <v/>
      </c>
      <c r="L4" s="9" t="n"/>
    </row>
    <row r="5">
      <c r="A5" s="11" t="inlineStr">
        <is>
          <t>of 8</t>
        </is>
      </c>
      <c r="D5" s="11" t="inlineStr">
        <is>
          <t>elevated</t>
        </is>
      </c>
      <c r="G5" s="11" t="inlineStr">
        <is>
          <t>this lane</t>
        </is>
      </c>
    </row>
    <row r="6" ht="8" customHeight="1"/>
    <row r="7" ht="22" customHeight="1">
      <c r="A7" s="12" t="inlineStr">
        <is>
          <t>Category</t>
        </is>
      </c>
      <c r="B7" s="12" t="inlineStr">
        <is>
          <t>Series ID</t>
        </is>
      </c>
      <c r="C7" s="12" t="inlineStr">
        <is>
          <t>Title</t>
        </is>
      </c>
      <c r="D7" s="12" t="inlineStr">
        <is>
          <t>Latest</t>
        </is>
      </c>
      <c r="E7" s="13" t="inlineStr">
        <is>
          <t>Prior</t>
        </is>
      </c>
      <c r="F7" s="13" t="inlineStr">
        <is>
          <t>YoY %</t>
        </is>
      </c>
      <c r="G7" s="13" t="inlineStr">
        <is>
          <t>Trend (8)</t>
        </is>
      </c>
      <c r="H7" s="14" t="inlineStr">
        <is>
          <t>Status</t>
        </is>
      </c>
    </row>
    <row r="8">
      <c r="A8" s="15" t="inlineStr">
        <is>
          <t>aggregate</t>
        </is>
      </c>
      <c r="B8" s="16" t="inlineStr">
        <is>
          <t>hhdc_state_balance_annual</t>
        </is>
      </c>
      <c r="C8" s="17" t="inlineStr">
        <is>
          <t>State total balance (annual Q4)</t>
        </is>
      </c>
      <c r="D8" s="18">
        <f>IF(Raw_HHDC!B1028="","",Raw_HHDC!B1028)</f>
        <v/>
      </c>
      <c r="E8" s="18">
        <f>IF(Raw_HHDC!B1029="","",Raw_HHDC!B1029)</f>
        <v/>
      </c>
      <c r="F8" s="19">
        <f>IF(OR(Raw_HHDC!B1028="",Raw_HHDC!B1029=""),"",IFERROR((Raw_HHDC!B1028-Raw_HHDC!B1029)/Raw_HHDC!B1029*100,""))</f>
        <v/>
      </c>
      <c r="G8" s="20" t="n"/>
      <c r="H8" s="21" t="n"/>
    </row>
    <row r="9">
      <c r="A9" s="15" t="inlineStr">
        <is>
          <t>aggregate</t>
        </is>
      </c>
      <c r="B9" s="16" t="inlineStr">
        <is>
          <t>hhdc_total_balance</t>
        </is>
      </c>
      <c r="C9" s="17" t="inlineStr">
        <is>
          <t>Total household debt balance</t>
        </is>
      </c>
      <c r="D9" s="18">
        <f>IF(Raw_HHDC!B4="","",Raw_HHDC!B4)</f>
        <v/>
      </c>
      <c r="E9" s="18">
        <f>IF(Raw_HHDC!B5="","",Raw_HHDC!B5)</f>
        <v/>
      </c>
      <c r="F9" s="19">
        <f>IF(OR(Raw_HHDC!B4="",Raw_HHDC!B8=""),"",IFERROR((Raw_HHDC!B4-Raw_HHDC!B8)/Raw_HHDC!B8*100,""))</f>
        <v/>
      </c>
      <c r="G9" s="20" t="n"/>
      <c r="H9" s="21">
        <f>IF(NOT(ISNUMBER($F9)),"",IF($F9&gt;=_config!$C$17,"ALERT",IF($F9&gt;=_config!$B$17,"WATCH","OK")))</f>
        <v/>
      </c>
    </row>
    <row r="10">
      <c r="A10" s="15" t="inlineStr">
        <is>
          <t>auto</t>
        </is>
      </c>
      <c r="B10" s="16" t="inlineStr">
        <is>
          <t>hhdc_auto_balance</t>
        </is>
      </c>
      <c r="C10" s="17" t="inlineStr">
        <is>
          <t>Auto loan balance</t>
        </is>
      </c>
      <c r="D10" s="18">
        <f>IF(Raw_HHDC!B196="","",Raw_HHDC!B196)</f>
        <v/>
      </c>
      <c r="E10" s="18">
        <f>IF(Raw_HHDC!B197="","",Raw_HHDC!B197)</f>
        <v/>
      </c>
      <c r="F10" s="19">
        <f>IF(OR(Raw_HHDC!B196="",Raw_HHDC!B200=""),"",IFERROR((Raw_HHDC!B196-Raw_HHDC!B200)/Raw_HHDC!B200*100,""))</f>
        <v/>
      </c>
      <c r="G10" s="20" t="n"/>
      <c r="H10" s="21" t="n"/>
    </row>
    <row r="11">
      <c r="A11" s="15" t="inlineStr">
        <is>
          <t>card</t>
        </is>
      </c>
      <c r="B11" s="16" t="inlineStr">
        <is>
          <t>hhdc_card_balance</t>
        </is>
      </c>
      <c r="C11" s="17" t="inlineStr">
        <is>
          <t>Credit card balance</t>
        </is>
      </c>
      <c r="D11" s="18">
        <f>IF(Raw_HHDC!B260="","",Raw_HHDC!B260)</f>
        <v/>
      </c>
      <c r="E11" s="18">
        <f>IF(Raw_HHDC!B261="","",Raw_HHDC!B261)</f>
        <v/>
      </c>
      <c r="F11" s="19">
        <f>IF(OR(Raw_HHDC!B260="",Raw_HHDC!B264=""),"",IFERROR((Raw_HHDC!B260-Raw_HHDC!B264)/Raw_HHDC!B264*100,""))</f>
        <v/>
      </c>
      <c r="G11" s="20" t="n"/>
      <c r="H11" s="21">
        <f>IF(NOT(ISNUMBER($F11)),"",IF($F11&gt;=_config!$C$18,"ALERT",IF($F11&gt;=_config!$B$18,"WATCH","OK")))</f>
        <v/>
      </c>
    </row>
    <row r="12">
      <c r="A12" s="15" t="inlineStr">
        <is>
          <t>heloc</t>
        </is>
      </c>
      <c r="B12" s="16" t="inlineStr">
        <is>
          <t>hhdc_heloc_balance</t>
        </is>
      </c>
      <c r="C12" s="17" t="inlineStr">
        <is>
          <t>HELOC balance</t>
        </is>
      </c>
      <c r="D12" s="18">
        <f>IF(Raw_HHDC!B132="","",Raw_HHDC!B132)</f>
        <v/>
      </c>
      <c r="E12" s="18">
        <f>IF(Raw_HHDC!B133="","",Raw_HHDC!B133)</f>
        <v/>
      </c>
      <c r="F12" s="19">
        <f>IF(OR(Raw_HHDC!B132="",Raw_HHDC!B136=""),"",IFERROR((Raw_HHDC!B132-Raw_HHDC!B136)/Raw_HHDC!B136*100,""))</f>
        <v/>
      </c>
      <c r="G12" s="20" t="n"/>
      <c r="H12" s="21" t="n"/>
    </row>
    <row r="13">
      <c r="A13" s="15" t="inlineStr">
        <is>
          <t>mortgage</t>
        </is>
      </c>
      <c r="B13" s="16" t="inlineStr">
        <is>
          <t>hhdc_mortgage_balance</t>
        </is>
      </c>
      <c r="C13" s="17" t="inlineStr">
        <is>
          <t>Mortgage balance</t>
        </is>
      </c>
      <c r="D13" s="18">
        <f>IF(Raw_HHDC!B68="","",Raw_HHDC!B68)</f>
        <v/>
      </c>
      <c r="E13" s="18">
        <f>IF(Raw_HHDC!B69="","",Raw_HHDC!B69)</f>
        <v/>
      </c>
      <c r="F13" s="19">
        <f>IF(OR(Raw_HHDC!B68="",Raw_HHDC!B72=""),"",IFERROR((Raw_HHDC!B68-Raw_HHDC!B72)/Raw_HHDC!B72*100,""))</f>
        <v/>
      </c>
      <c r="G13" s="20" t="n"/>
      <c r="H13" s="21" t="n"/>
    </row>
    <row r="14">
      <c r="A14" s="15" t="inlineStr">
        <is>
          <t>personal</t>
        </is>
      </c>
      <c r="B14" s="16" t="inlineStr">
        <is>
          <t>hhdc_personal_balance</t>
        </is>
      </c>
      <c r="C14" s="17" t="inlineStr">
        <is>
          <t>Personal/unsecured balance</t>
        </is>
      </c>
      <c r="D14" s="18">
        <f>IF(Raw_HHDC!B388="","",Raw_HHDC!B388)</f>
        <v/>
      </c>
      <c r="E14" s="18">
        <f>IF(Raw_HHDC!B389="","",Raw_HHDC!B389)</f>
        <v/>
      </c>
      <c r="F14" s="19">
        <f>IF(OR(Raw_HHDC!B388="",Raw_HHDC!B392=""),"",IFERROR((Raw_HHDC!B388-Raw_HHDC!B392)/Raw_HHDC!B392*100,""))</f>
        <v/>
      </c>
      <c r="G14" s="20" t="n"/>
      <c r="H14" s="21" t="n"/>
    </row>
    <row r="15">
      <c r="A15" s="15" t="inlineStr">
        <is>
          <t>student</t>
        </is>
      </c>
      <c r="B15" s="16" t="inlineStr">
        <is>
          <t>hhdc_student_balance</t>
        </is>
      </c>
      <c r="C15" s="17" t="inlineStr">
        <is>
          <t>Student loan balance</t>
        </is>
      </c>
      <c r="D15" s="18">
        <f>IF(Raw_HHDC!B324="","",Raw_HHDC!B324)</f>
        <v/>
      </c>
      <c r="E15" s="18">
        <f>IF(Raw_HHDC!B325="","",Raw_HHDC!B325)</f>
        <v/>
      </c>
      <c r="F15" s="19">
        <f>IF(OR(Raw_HHDC!B324="",Raw_HHDC!B328=""),"",IFERROR((Raw_HHDC!B324-Raw_HHDC!B328)/Raw_HHDC!B328*100,""))</f>
        <v/>
      </c>
      <c r="G15" s="20" t="n"/>
      <c r="H15" s="21" t="n"/>
    </row>
  </sheetData>
  <mergeCells count="11">
    <mergeCell ref="D5:F5"/>
    <mergeCell ref="A5:C5"/>
    <mergeCell ref="G5:I5"/>
    <mergeCell ref="A2:H2"/>
    <mergeCell ref="D4:F4"/>
    <mergeCell ref="D3:F3"/>
    <mergeCell ref="A3:C3"/>
    <mergeCell ref="G3:I3"/>
    <mergeCell ref="G4:I4"/>
    <mergeCell ref="A1:H1"/>
    <mergeCell ref="A4:C4"/>
  </mergeCells>
  <conditionalFormatting sqref="H8:H15">
    <cfRule type="expression" priority="1" dxfId="0">
      <formula>ISNUMBER(SEARCH("ALERT",H8))</formula>
    </cfRule>
  </conditionalFormatting>
  <conditionalFormatting sqref="F8:F15">
    <cfRule type="colorScale" priority="2">
      <colorScale>
        <cfvo type="min"/>
        <cfvo type="percentile" val="50"/>
        <cfvo type="max"/>
        <color rgb="00BBD3BD"/>
        <color rgb="00F4F1EC"/>
        <color rgb="00E0A6A6"/>
      </colorScale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L12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4" customWidth="1" min="1" max="1"/>
    <col width="24" customWidth="1" min="2" max="2"/>
    <col width="40" customWidth="1" min="3" max="3"/>
    <col width="11" customWidth="1" min="4" max="4"/>
    <col width="11" customWidth="1" min="5" max="5"/>
    <col width="12" customWidth="1" min="6" max="6"/>
    <col width="14" customWidth="1" min="7" max="7"/>
    <col width="12" customWidth="1" min="8" max="8"/>
    <col width="34" customWidth="1" min="12" max="12"/>
  </cols>
  <sheetData>
    <row r="1" ht="27.6" customHeight="1">
      <c r="A1" s="1" t="inlineStr">
        <is>
          <t>Delinquency Dashboard</t>
        </is>
      </c>
      <c r="L1" s="2" t="n"/>
    </row>
    <row r="2" ht="18.4" customHeight="1">
      <c r="A2" s="3" t="inlineStr">
        <is>
          <t>90+ DPD rates and transition flows by DPD bucket. Headline = current rate (level).</t>
        </is>
      </c>
      <c r="B2" s="4" t="n"/>
      <c r="C2" s="4" t="n"/>
      <c r="D2" s="4" t="n"/>
      <c r="E2" s="4" t="n"/>
      <c r="F2" s="4" t="n"/>
      <c r="G2" s="4" t="n"/>
      <c r="H2" s="4" t="n"/>
      <c r="L2" s="2" t="n"/>
    </row>
    <row r="3">
      <c r="A3" s="5" t="inlineStr">
        <is>
          <t>SERIES IN ALERT</t>
        </is>
      </c>
      <c r="B3" s="6" t="n"/>
      <c r="C3" s="6" t="n"/>
      <c r="D3" s="5" t="inlineStr">
        <is>
          <t>SERIES IN WATCH</t>
        </is>
      </c>
      <c r="E3" s="6" t="n"/>
      <c r="F3" s="6" t="n"/>
      <c r="G3" s="7" t="inlineStr">
        <is>
          <t>SERIES TRACKED</t>
        </is>
      </c>
      <c r="H3" s="8" t="n"/>
      <c r="I3" s="8" t="n"/>
      <c r="L3" s="9" t="inlineStr">
        <is>
          <t>Anonymized 5% sample -- aggregate only</t>
        </is>
      </c>
    </row>
    <row r="4" ht="26" customHeight="1">
      <c r="A4" s="10">
        <f>COUNTIF(H8:H12,"ALERT")</f>
        <v/>
      </c>
      <c r="D4" s="10">
        <f>COUNTIF(H8:H12,"WATCH")</f>
        <v/>
      </c>
      <c r="G4" s="10">
        <f>5</f>
        <v/>
      </c>
      <c r="L4" s="9" t="n"/>
    </row>
    <row r="5">
      <c r="A5" s="11" t="inlineStr">
        <is>
          <t>of 5</t>
        </is>
      </c>
      <c r="D5" s="11" t="inlineStr">
        <is>
          <t>elevated</t>
        </is>
      </c>
      <c r="G5" s="11" t="inlineStr">
        <is>
          <t>this lane</t>
        </is>
      </c>
    </row>
    <row r="6" ht="8" customHeight="1"/>
    <row r="7" ht="22" customHeight="1">
      <c r="A7" s="12" t="inlineStr">
        <is>
          <t>Category</t>
        </is>
      </c>
      <c r="B7" s="12" t="inlineStr">
        <is>
          <t>Series ID</t>
        </is>
      </c>
      <c r="C7" s="12" t="inlineStr">
        <is>
          <t>Title</t>
        </is>
      </c>
      <c r="D7" s="12" t="inlineStr">
        <is>
          <t>Latest</t>
        </is>
      </c>
      <c r="E7" s="13" t="inlineStr">
        <is>
          <t>Prior</t>
        </is>
      </c>
      <c r="F7" s="13" t="inlineStr">
        <is>
          <t>Rate %</t>
        </is>
      </c>
      <c r="G7" s="13" t="inlineStr">
        <is>
          <t>Trend (8)</t>
        </is>
      </c>
      <c r="H7" s="14" t="inlineStr">
        <is>
          <t>Status</t>
        </is>
      </c>
    </row>
    <row r="8">
      <c r="A8" s="15" t="inlineStr">
        <is>
          <t>aggregate</t>
        </is>
      </c>
      <c r="B8" s="16" t="inlineStr">
        <is>
          <t>hhdc_flow_to_30</t>
        </is>
      </c>
      <c r="C8" s="17" t="inlineStr">
        <is>
          <t>Flow into 30+ DPD (all products)</t>
        </is>
      </c>
      <c r="D8" s="18">
        <f>IF(Raw_HHDC!B644="","",Raw_HHDC!B644)</f>
        <v/>
      </c>
      <c r="E8" s="18">
        <f>IF(Raw_HHDC!B645="","",Raw_HHDC!B645)</f>
        <v/>
      </c>
      <c r="F8" s="19">
        <f>IF(Raw_HHDC!B644="","",Raw_HHDC!B644)</f>
        <v/>
      </c>
      <c r="G8" s="20" t="n"/>
      <c r="H8" s="21">
        <f>IF(NOT(ISNUMBER($F8)),"",IF($F8&gt;=_config!$C$15,"ALERT",IF($F8&gt;=_config!$B$15,"WATCH","OK")))</f>
        <v/>
      </c>
    </row>
    <row r="9">
      <c r="A9" s="15" t="inlineStr">
        <is>
          <t>aggregate</t>
        </is>
      </c>
      <c r="B9" s="16" t="inlineStr">
        <is>
          <t>hhdc_flow_to_90</t>
        </is>
      </c>
      <c r="C9" s="17" t="inlineStr">
        <is>
          <t>Flow into 90+ DPD (all products)</t>
        </is>
      </c>
      <c r="D9" s="18">
        <f>IF(Raw_HHDC!B708="","",Raw_HHDC!B708)</f>
        <v/>
      </c>
      <c r="E9" s="18">
        <f>IF(Raw_HHDC!B709="","",Raw_HHDC!B709)</f>
        <v/>
      </c>
      <c r="F9" s="19">
        <f>IF(Raw_HHDC!B708="","",Raw_HHDC!B708)</f>
        <v/>
      </c>
      <c r="G9" s="20" t="n"/>
      <c r="H9" s="21">
        <f>IF(NOT(ISNUMBER($F9)),"",IF($F9&gt;=_config!$C$16,"ALERT",IF($F9&gt;=_config!$B$16,"WATCH","OK")))</f>
        <v/>
      </c>
    </row>
    <row r="10">
      <c r="A10" s="15" t="inlineStr">
        <is>
          <t>auto</t>
        </is>
      </c>
      <c r="B10" s="16" t="inlineStr">
        <is>
          <t>hhdc_auto_90plus</t>
        </is>
      </c>
      <c r="C10" s="17" t="inlineStr">
        <is>
          <t>Auto 90+ DPD rate</t>
        </is>
      </c>
      <c r="D10" s="18">
        <f>IF(Raw_HHDC!B516="","",Raw_HHDC!B516)</f>
        <v/>
      </c>
      <c r="E10" s="18">
        <f>IF(Raw_HHDC!B517="","",Raw_HHDC!B517)</f>
        <v/>
      </c>
      <c r="F10" s="19">
        <f>IF(Raw_HHDC!B516="","",Raw_HHDC!B516)</f>
        <v/>
      </c>
      <c r="G10" s="20" t="n"/>
      <c r="H10" s="21">
        <f>IF(NOT(ISNUMBER($F10)),"",IF($F10&gt;=_config!$C$13,"ALERT",IF($F10&gt;=_config!$B$13,"WATCH","OK")))</f>
        <v/>
      </c>
    </row>
    <row r="11">
      <c r="A11" s="15" t="inlineStr">
        <is>
          <t>card</t>
        </is>
      </c>
      <c r="B11" s="16" t="inlineStr">
        <is>
          <t>hhdc_card_90plus</t>
        </is>
      </c>
      <c r="C11" s="17" t="inlineStr">
        <is>
          <t>Credit card 90+ DPD rate</t>
        </is>
      </c>
      <c r="D11" s="18">
        <f>IF(Raw_HHDC!B452="","",Raw_HHDC!B452)</f>
        <v/>
      </c>
      <c r="E11" s="18">
        <f>IF(Raw_HHDC!B453="","",Raw_HHDC!B453)</f>
        <v/>
      </c>
      <c r="F11" s="19">
        <f>IF(Raw_HHDC!B452="","",Raw_HHDC!B452)</f>
        <v/>
      </c>
      <c r="G11" s="20" t="n"/>
      <c r="H11" s="21">
        <f>IF(NOT(ISNUMBER($F11)),"",IF($F11&gt;=_config!$C$12,"ALERT",IF($F11&gt;=_config!$B$12,"WATCH","OK")))</f>
        <v/>
      </c>
    </row>
    <row r="12">
      <c r="A12" s="15" t="inlineStr">
        <is>
          <t>mortgage</t>
        </is>
      </c>
      <c r="B12" s="16" t="inlineStr">
        <is>
          <t>hhdc_mortgage_90plus</t>
        </is>
      </c>
      <c r="C12" s="17" t="inlineStr">
        <is>
          <t>Mortgage 90+ DPD rate</t>
        </is>
      </c>
      <c r="D12" s="18">
        <f>IF(Raw_HHDC!B580="","",Raw_HHDC!B580)</f>
        <v/>
      </c>
      <c r="E12" s="18">
        <f>IF(Raw_HHDC!B581="","",Raw_HHDC!B581)</f>
        <v/>
      </c>
      <c r="F12" s="19">
        <f>IF(Raw_HHDC!B580="","",Raw_HHDC!B580)</f>
        <v/>
      </c>
      <c r="G12" s="20" t="n"/>
      <c r="H12" s="21">
        <f>IF(NOT(ISNUMBER($F12)),"",IF($F12&gt;=_config!$C$14,"ALERT",IF($F12&gt;=_config!$B$14,"WATCH","OK")))</f>
        <v/>
      </c>
    </row>
  </sheetData>
  <mergeCells count="11">
    <mergeCell ref="D5:F5"/>
    <mergeCell ref="A5:C5"/>
    <mergeCell ref="G5:I5"/>
    <mergeCell ref="A2:H2"/>
    <mergeCell ref="D4:F4"/>
    <mergeCell ref="D3:F3"/>
    <mergeCell ref="A3:C3"/>
    <mergeCell ref="G3:I3"/>
    <mergeCell ref="G4:I4"/>
    <mergeCell ref="A1:H1"/>
    <mergeCell ref="A4:C4"/>
  </mergeCells>
  <conditionalFormatting sqref="H8:H12">
    <cfRule type="expression" priority="1" dxfId="0">
      <formula>ISNUMBER(SEARCH("ALERT",H8))</formula>
    </cfRule>
  </conditionalFormatting>
  <conditionalFormatting sqref="F8:F12">
    <cfRule type="colorScale" priority="2">
      <colorScale>
        <cfvo type="min"/>
        <cfvo type="percentile" val="50"/>
        <cfvo type="max"/>
        <color rgb="00BBD3BD"/>
        <color rgb="00F4F1EC"/>
        <color rgb="00E0A6A6"/>
      </colorScale>
    </cfRule>
  </conditionalFormatting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L11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4" customWidth="1" min="1" max="1"/>
    <col width="24" customWidth="1" min="2" max="2"/>
    <col width="40" customWidth="1" min="3" max="3"/>
    <col width="11" customWidth="1" min="4" max="4"/>
    <col width="11" customWidth="1" min="5" max="5"/>
    <col width="12" customWidth="1" min="6" max="6"/>
    <col width="14" customWidth="1" min="7" max="7"/>
    <col width="12" customWidth="1" min="8" max="8"/>
    <col width="34" customWidth="1" min="12" max="12"/>
  </cols>
  <sheetData>
    <row r="1" ht="27.6" customHeight="1">
      <c r="A1" s="1" t="inlineStr">
        <is>
          <t>Originations Dashboard</t>
        </is>
      </c>
      <c r="L1" s="2" t="n"/>
    </row>
    <row r="2" ht="18.4" customHeight="1">
      <c r="A2" s="3" t="inlineStr">
        <is>
          <t>New originations by product. NOTE: a one-quarter origination lag is standard. Headline = YoY %.</t>
        </is>
      </c>
      <c r="B2" s="4" t="n"/>
      <c r="C2" s="4" t="n"/>
      <c r="D2" s="4" t="n"/>
      <c r="E2" s="4" t="n"/>
      <c r="F2" s="4" t="n"/>
      <c r="G2" s="4" t="n"/>
      <c r="H2" s="4" t="n"/>
      <c r="L2" s="2" t="n"/>
    </row>
    <row r="3">
      <c r="A3" s="5" t="inlineStr">
        <is>
          <t>SERIES IN ALERT</t>
        </is>
      </c>
      <c r="B3" s="6" t="n"/>
      <c r="C3" s="6" t="n"/>
      <c r="D3" s="5" t="inlineStr">
        <is>
          <t>SERIES IN WATCH</t>
        </is>
      </c>
      <c r="E3" s="6" t="n"/>
      <c r="F3" s="6" t="n"/>
      <c r="G3" s="7" t="inlineStr">
        <is>
          <t>SERIES TRACKED</t>
        </is>
      </c>
      <c r="H3" s="8" t="n"/>
      <c r="I3" s="8" t="n"/>
      <c r="L3" s="9" t="inlineStr">
        <is>
          <t>Anonymized 5% sample -- aggregate only</t>
        </is>
      </c>
    </row>
    <row r="4" ht="26" customHeight="1">
      <c r="A4" s="10">
        <f>COUNTIF(H8:H11,"ALERT")</f>
        <v/>
      </c>
      <c r="D4" s="10">
        <f>COUNTIF(H8:H11,"WATCH")</f>
        <v/>
      </c>
      <c r="G4" s="10">
        <f>4</f>
        <v/>
      </c>
      <c r="L4" s="9" t="n"/>
    </row>
    <row r="5">
      <c r="A5" s="11" t="inlineStr">
        <is>
          <t>of 4</t>
        </is>
      </c>
      <c r="D5" s="11" t="inlineStr">
        <is>
          <t>elevated</t>
        </is>
      </c>
      <c r="G5" s="11" t="inlineStr">
        <is>
          <t>this lane</t>
        </is>
      </c>
    </row>
    <row r="6" ht="8" customHeight="1"/>
    <row r="7" ht="22" customHeight="1">
      <c r="A7" s="12" t="inlineStr">
        <is>
          <t>Category</t>
        </is>
      </c>
      <c r="B7" s="12" t="inlineStr">
        <is>
          <t>Series ID</t>
        </is>
      </c>
      <c r="C7" s="12" t="inlineStr">
        <is>
          <t>Title</t>
        </is>
      </c>
      <c r="D7" s="12" t="inlineStr">
        <is>
          <t>Latest</t>
        </is>
      </c>
      <c r="E7" s="13" t="inlineStr">
        <is>
          <t>Prior</t>
        </is>
      </c>
      <c r="F7" s="13" t="inlineStr">
        <is>
          <t>YoY %</t>
        </is>
      </c>
      <c r="G7" s="13" t="inlineStr">
        <is>
          <t>Trend (8)</t>
        </is>
      </c>
      <c r="H7" s="14" t="inlineStr">
        <is>
          <t>Status</t>
        </is>
      </c>
    </row>
    <row r="8">
      <c r="A8" s="15" t="inlineStr">
        <is>
          <t>auto</t>
        </is>
      </c>
      <c r="B8" s="16" t="inlineStr">
        <is>
          <t>hhdc_auto_orig</t>
        </is>
      </c>
      <c r="C8" s="17" t="inlineStr">
        <is>
          <t>Auto originations</t>
        </is>
      </c>
      <c r="D8" s="18">
        <f>IF(Raw_HHDC!B900="","",Raw_HHDC!B900)</f>
        <v/>
      </c>
      <c r="E8" s="18">
        <f>IF(Raw_HHDC!B901="","",Raw_HHDC!B901)</f>
        <v/>
      </c>
      <c r="F8" s="19">
        <f>IF(OR(Raw_HHDC!B900="",Raw_HHDC!B904=""),"",IFERROR((Raw_HHDC!B900-Raw_HHDC!B904)/Raw_HHDC!B904*100,""))</f>
        <v/>
      </c>
      <c r="G8" s="20" t="n"/>
      <c r="H8" s="21" t="n"/>
    </row>
    <row r="9">
      <c r="A9" s="15" t="inlineStr">
        <is>
          <t>card</t>
        </is>
      </c>
      <c r="B9" s="16" t="inlineStr">
        <is>
          <t>hhdc_card_orig</t>
        </is>
      </c>
      <c r="C9" s="17" t="inlineStr">
        <is>
          <t>Bankcard originations</t>
        </is>
      </c>
      <c r="D9" s="18">
        <f>IF(Raw_HHDC!B772="","",Raw_HHDC!B772)</f>
        <v/>
      </c>
      <c r="E9" s="18">
        <f>IF(Raw_HHDC!B773="","",Raw_HHDC!B773)</f>
        <v/>
      </c>
      <c r="F9" s="19">
        <f>IF(OR(Raw_HHDC!B772="",Raw_HHDC!B776=""),"",IFERROR((Raw_HHDC!B772-Raw_HHDC!B776)/Raw_HHDC!B776*100,""))</f>
        <v/>
      </c>
      <c r="G9" s="20" t="n"/>
      <c r="H9" s="21" t="n"/>
    </row>
    <row r="10">
      <c r="A10" s="15" t="inlineStr">
        <is>
          <t>mortgage</t>
        </is>
      </c>
      <c r="B10" s="16" t="inlineStr">
        <is>
          <t>hhdc_mortgage_orig</t>
        </is>
      </c>
      <c r="C10" s="17" t="inlineStr">
        <is>
          <t>Mortgage originations</t>
        </is>
      </c>
      <c r="D10" s="18">
        <f>IF(Raw_HHDC!B964="","",Raw_HHDC!B964)</f>
        <v/>
      </c>
      <c r="E10" s="18">
        <f>IF(Raw_HHDC!B965="","",Raw_HHDC!B965)</f>
        <v/>
      </c>
      <c r="F10" s="19">
        <f>IF(OR(Raw_HHDC!B964="",Raw_HHDC!B968=""),"",IFERROR((Raw_HHDC!B964-Raw_HHDC!B968)/Raw_HHDC!B968*100,""))</f>
        <v/>
      </c>
      <c r="G10" s="20" t="n"/>
      <c r="H10" s="21" t="n"/>
    </row>
    <row r="11">
      <c r="A11" s="15" t="inlineStr">
        <is>
          <t>personal</t>
        </is>
      </c>
      <c r="B11" s="16" t="inlineStr">
        <is>
          <t>hhdc_personal_orig</t>
        </is>
      </c>
      <c r="C11" s="17" t="inlineStr">
        <is>
          <t>Personal-loan originations</t>
        </is>
      </c>
      <c r="D11" s="18">
        <f>IF(Raw_HHDC!B836="","",Raw_HHDC!B836)</f>
        <v/>
      </c>
      <c r="E11" s="18">
        <f>IF(Raw_HHDC!B837="","",Raw_HHDC!B837)</f>
        <v/>
      </c>
      <c r="F11" s="19">
        <f>IF(OR(Raw_HHDC!B836="",Raw_HHDC!B840=""),"",IFERROR((Raw_HHDC!B836-Raw_HHDC!B840)/Raw_HHDC!B840*100,""))</f>
        <v/>
      </c>
      <c r="G11" s="20" t="n"/>
      <c r="H11" s="21" t="n"/>
    </row>
  </sheetData>
  <mergeCells count="11">
    <mergeCell ref="D5:F5"/>
    <mergeCell ref="A5:C5"/>
    <mergeCell ref="G5:I5"/>
    <mergeCell ref="A2:H2"/>
    <mergeCell ref="D4:F4"/>
    <mergeCell ref="D3:F3"/>
    <mergeCell ref="A3:C3"/>
    <mergeCell ref="G3:I3"/>
    <mergeCell ref="G4:I4"/>
    <mergeCell ref="A1:H1"/>
    <mergeCell ref="A4:C4"/>
  </mergeCells>
  <conditionalFormatting sqref="H8:H11">
    <cfRule type="expression" priority="1" dxfId="0">
      <formula>ISNUMBER(SEARCH("ALERT",H8))</formula>
    </cfRule>
  </conditionalFormatting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D6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30" customWidth="1" min="1" max="1"/>
    <col width="16" customWidth="1" min="2" max="2"/>
    <col width="14" customWidth="1" min="3" max="3"/>
    <col width="22" customWidth="1" min="4" max="4"/>
  </cols>
  <sheetData>
    <row r="1" ht="27.6" customHeight="1">
      <c r="A1" s="1" t="inlineStr">
        <is>
          <t>Watchlist -- Gated Lane</t>
        </is>
      </c>
    </row>
    <row r="2" ht="18.4" customHeight="1">
      <c r="A2" s="3" t="inlineStr">
        <is>
          <t>Licensed MSA / account-level feed required (TransUnion Prama / Experian Triggers / TransUnion TruVision).</t>
        </is>
      </c>
      <c r="B2" s="4" t="n"/>
      <c r="C2" s="4" t="n"/>
      <c r="D2" s="4" t="n"/>
    </row>
    <row r="3" ht="42" customHeight="1">
      <c r="A3" s="22" t="inlineStr">
        <is>
          <t>GATED LANE. The watchlist requires a licensed (Class C) MSA or account-level feed. Under the public stand-in every series is Class A / national / aggregate and is refused by the default-deny validator -- by design. No public/national/annual-aggregate series may feed this lane.</t>
        </is>
      </c>
    </row>
    <row r="4" ht="22" customHeight="1">
      <c r="A4" s="12" t="inlineStr">
        <is>
          <t>Series ID</t>
        </is>
      </c>
      <c r="B4" s="12" t="inlineStr">
        <is>
          <t>geo_segment</t>
        </is>
      </c>
      <c r="C4" s="12" t="inlineStr">
        <is>
          <t>source_class</t>
        </is>
      </c>
      <c r="D4" s="12" t="inlineStr">
        <is>
          <t>Validator decision</t>
        </is>
      </c>
    </row>
    <row r="5">
      <c r="A5" s="16" t="inlineStr">
        <is>
          <t>WATCHLIST_MSA_PLACEHOLDER</t>
        </is>
      </c>
      <c r="B5" s="15" t="inlineStr">
        <is>
          <t>msa</t>
        </is>
      </c>
      <c r="C5" s="15" t="inlineStr">
        <is>
          <t>A</t>
        </is>
      </c>
      <c r="D5" s="23" t="inlineStr">
        <is>
          <t>REFUSED</t>
        </is>
      </c>
    </row>
    <row r="6" ht="56" customHeight="1">
      <c r="A6" s="9" t="inlineStr">
        <is>
          <t>WATCHLIST REFUSED: series "WATCHLIST_MSA_PLACEHOLDER" has geo_segment="msa", watchlist_capable=FALSE, source_class="A". Gate1: watchlist_capable is not TRUE. Gate2: source_class is not C (licensed) -- public/free sources can never feed the watchlist. The watchlist lane requires a licensed (Class C) MSA feed (TransUnion Prama Benchmarking) or an account-level feed (Experian Risk &amp; Retention Triggers / TransUnion TruVision). No public/national/annual-aggregate series may feed this lane.</t>
        </is>
      </c>
    </row>
  </sheetData>
  <mergeCells count="4">
    <mergeCell ref="A1:D1"/>
    <mergeCell ref="A3:D3"/>
    <mergeCell ref="A2:D2"/>
    <mergeCell ref="A6:D6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C1027"/>
  <sheetViews>
    <sheetView showGridLines="0" workbookViewId="0">
      <selection activeCell="A1" sqref="A1"/>
    </sheetView>
  </sheetViews>
  <sheetFormatPr baseColWidth="8" defaultRowHeight="15"/>
  <cols>
    <col width="14" customWidth="1" min="1" max="1"/>
    <col width="14" customWidth="1" min="2" max="2"/>
    <col width="46" customWidth="1" min="3" max="3"/>
  </cols>
  <sheetData>
    <row r="1">
      <c r="A1" s="24" t="inlineStr">
        <is>
          <t>Raw_HHDC -- raw HHDC observations (or DemoProvider output in --demo), newest-first. Written by runner.py; dashboards read these by formula. Do not edit by hand.</t>
        </is>
      </c>
    </row>
    <row r="2">
      <c r="A2" s="25" t="inlineStr">
        <is>
          <t>hhdc_total_balance</t>
        </is>
      </c>
      <c r="B2" t="inlineStr">
        <is>
          <t>Total household debt balance</t>
        </is>
      </c>
      <c r="C2" s="24" t="inlineStr">
        <is>
          <t>freq=quarterly; transform=yoy_pct; class=A; geo=national</t>
        </is>
      </c>
    </row>
    <row r="3">
      <c r="A3" s="26" t="inlineStr">
        <is>
          <t>period</t>
        </is>
      </c>
      <c r="B3" s="26" t="inlineStr">
        <is>
          <t>value</t>
        </is>
      </c>
    </row>
    <row r="66">
      <c r="A66" s="25" t="inlineStr">
        <is>
          <t>hhdc_mortgage_balance</t>
        </is>
      </c>
      <c r="B66" t="inlineStr">
        <is>
          <t>Mortgage balance</t>
        </is>
      </c>
      <c r="C66" s="24" t="inlineStr">
        <is>
          <t>freq=quarterly; transform=yoy_pct; class=A; geo=national</t>
        </is>
      </c>
    </row>
    <row r="67">
      <c r="A67" s="26" t="inlineStr">
        <is>
          <t>period</t>
        </is>
      </c>
      <c r="B67" s="26" t="inlineStr">
        <is>
          <t>value</t>
        </is>
      </c>
    </row>
    <row r="130">
      <c r="A130" s="25" t="inlineStr">
        <is>
          <t>hhdc_heloc_balance</t>
        </is>
      </c>
      <c r="B130" t="inlineStr">
        <is>
          <t>HELOC balance</t>
        </is>
      </c>
      <c r="C130" s="24" t="inlineStr">
        <is>
          <t>freq=quarterly; transform=yoy_pct; class=A; geo=national</t>
        </is>
      </c>
    </row>
    <row r="131">
      <c r="A131" s="26" t="inlineStr">
        <is>
          <t>period</t>
        </is>
      </c>
      <c r="B131" s="26" t="inlineStr">
        <is>
          <t>value</t>
        </is>
      </c>
    </row>
    <row r="194">
      <c r="A194" s="25" t="inlineStr">
        <is>
          <t>hhdc_auto_balance</t>
        </is>
      </c>
      <c r="B194" t="inlineStr">
        <is>
          <t>Auto loan balance</t>
        </is>
      </c>
      <c r="C194" s="24" t="inlineStr">
        <is>
          <t>freq=quarterly; transform=yoy_pct; class=A; geo=national</t>
        </is>
      </c>
    </row>
    <row r="195">
      <c r="A195" s="26" t="inlineStr">
        <is>
          <t>period</t>
        </is>
      </c>
      <c r="B195" s="26" t="inlineStr">
        <is>
          <t>value</t>
        </is>
      </c>
    </row>
    <row r="258">
      <c r="A258" s="25" t="inlineStr">
        <is>
          <t>hhdc_card_balance</t>
        </is>
      </c>
      <c r="B258" t="inlineStr">
        <is>
          <t>Credit card balance</t>
        </is>
      </c>
      <c r="C258" s="24" t="inlineStr">
        <is>
          <t>freq=quarterly; transform=yoy_pct; class=A; geo=national</t>
        </is>
      </c>
    </row>
    <row r="259">
      <c r="A259" s="26" t="inlineStr">
        <is>
          <t>period</t>
        </is>
      </c>
      <c r="B259" s="26" t="inlineStr">
        <is>
          <t>value</t>
        </is>
      </c>
    </row>
    <row r="322">
      <c r="A322" s="25" t="inlineStr">
        <is>
          <t>hhdc_student_balance</t>
        </is>
      </c>
      <c r="B322" t="inlineStr">
        <is>
          <t>Student loan balance</t>
        </is>
      </c>
      <c r="C322" s="24" t="inlineStr">
        <is>
          <t>freq=quarterly; transform=yoy_pct; class=A; geo=national</t>
        </is>
      </c>
    </row>
    <row r="323">
      <c r="A323" s="26" t="inlineStr">
        <is>
          <t>period</t>
        </is>
      </c>
      <c r="B323" s="26" t="inlineStr">
        <is>
          <t>value</t>
        </is>
      </c>
    </row>
    <row r="386">
      <c r="A386" s="25" t="inlineStr">
        <is>
          <t>hhdc_personal_balance</t>
        </is>
      </c>
      <c r="B386" t="inlineStr">
        <is>
          <t>Personal/unsecured balance</t>
        </is>
      </c>
      <c r="C386" s="24" t="inlineStr">
        <is>
          <t>freq=quarterly; transform=yoy_pct; class=A; geo=national</t>
        </is>
      </c>
    </row>
    <row r="387">
      <c r="A387" s="26" t="inlineStr">
        <is>
          <t>period</t>
        </is>
      </c>
      <c r="B387" s="26" t="inlineStr">
        <is>
          <t>value</t>
        </is>
      </c>
    </row>
    <row r="450">
      <c r="A450" s="25" t="inlineStr">
        <is>
          <t>hhdc_card_90plus</t>
        </is>
      </c>
      <c r="B450" t="inlineStr">
        <is>
          <t>Credit card 90+ DPD rate</t>
        </is>
      </c>
      <c r="C450" s="24" t="inlineStr">
        <is>
          <t>freq=quarterly; transform=level; class=A; geo=national</t>
        </is>
      </c>
    </row>
    <row r="451">
      <c r="A451" s="26" t="inlineStr">
        <is>
          <t>period</t>
        </is>
      </c>
      <c r="B451" s="26" t="inlineStr">
        <is>
          <t>value</t>
        </is>
      </c>
    </row>
    <row r="514">
      <c r="A514" s="25" t="inlineStr">
        <is>
          <t>hhdc_auto_90plus</t>
        </is>
      </c>
      <c r="B514" t="inlineStr">
        <is>
          <t>Auto 90+ DPD rate</t>
        </is>
      </c>
      <c r="C514" s="24" t="inlineStr">
        <is>
          <t>freq=quarterly; transform=level; class=A; geo=national</t>
        </is>
      </c>
    </row>
    <row r="515">
      <c r="A515" s="26" t="inlineStr">
        <is>
          <t>period</t>
        </is>
      </c>
      <c r="B515" s="26" t="inlineStr">
        <is>
          <t>value</t>
        </is>
      </c>
    </row>
    <row r="578">
      <c r="A578" s="25" t="inlineStr">
        <is>
          <t>hhdc_mortgage_90plus</t>
        </is>
      </c>
      <c r="B578" t="inlineStr">
        <is>
          <t>Mortgage 90+ DPD rate</t>
        </is>
      </c>
      <c r="C578" s="24" t="inlineStr">
        <is>
          <t>freq=quarterly; transform=level; class=A; geo=national</t>
        </is>
      </c>
    </row>
    <row r="579">
      <c r="A579" s="26" t="inlineStr">
        <is>
          <t>period</t>
        </is>
      </c>
      <c r="B579" s="26" t="inlineStr">
        <is>
          <t>value</t>
        </is>
      </c>
    </row>
    <row r="642">
      <c r="A642" s="25" t="inlineStr">
        <is>
          <t>hhdc_flow_to_30</t>
        </is>
      </c>
      <c r="B642" t="inlineStr">
        <is>
          <t>Flow into 30+ DPD (all products)</t>
        </is>
      </c>
      <c r="C642" s="24" t="inlineStr">
        <is>
          <t>freq=quarterly; transform=level; class=A; geo=national</t>
        </is>
      </c>
    </row>
    <row r="643">
      <c r="A643" s="26" t="inlineStr">
        <is>
          <t>period</t>
        </is>
      </c>
      <c r="B643" s="26" t="inlineStr">
        <is>
          <t>value</t>
        </is>
      </c>
    </row>
    <row r="706">
      <c r="A706" s="25" t="inlineStr">
        <is>
          <t>hhdc_flow_to_90</t>
        </is>
      </c>
      <c r="B706" t="inlineStr">
        <is>
          <t>Flow into 90+ DPD (all products)</t>
        </is>
      </c>
      <c r="C706" s="24" t="inlineStr">
        <is>
          <t>freq=quarterly; transform=level; class=A; geo=national</t>
        </is>
      </c>
    </row>
    <row r="707">
      <c r="A707" s="26" t="inlineStr">
        <is>
          <t>period</t>
        </is>
      </c>
      <c r="B707" s="26" t="inlineStr">
        <is>
          <t>value</t>
        </is>
      </c>
    </row>
    <row r="770">
      <c r="A770" s="25" t="inlineStr">
        <is>
          <t>hhdc_card_orig</t>
        </is>
      </c>
      <c r="B770" t="inlineStr">
        <is>
          <t>Bankcard originations</t>
        </is>
      </c>
      <c r="C770" s="24" t="inlineStr">
        <is>
          <t>freq=quarterly; transform=yoy_pct; class=A; geo=national</t>
        </is>
      </c>
    </row>
    <row r="771">
      <c r="A771" s="26" t="inlineStr">
        <is>
          <t>period</t>
        </is>
      </c>
      <c r="B771" s="26" t="inlineStr">
        <is>
          <t>value</t>
        </is>
      </c>
    </row>
    <row r="834">
      <c r="A834" s="25" t="inlineStr">
        <is>
          <t>hhdc_personal_orig</t>
        </is>
      </c>
      <c r="B834" t="inlineStr">
        <is>
          <t>Personal-loan originations</t>
        </is>
      </c>
      <c r="C834" s="24" t="inlineStr">
        <is>
          <t>freq=quarterly; transform=yoy_pct; class=A; geo=national</t>
        </is>
      </c>
    </row>
    <row r="835">
      <c r="A835" s="26" t="inlineStr">
        <is>
          <t>period</t>
        </is>
      </c>
      <c r="B835" s="26" t="inlineStr">
        <is>
          <t>value</t>
        </is>
      </c>
    </row>
    <row r="898">
      <c r="A898" s="25" t="inlineStr">
        <is>
          <t>hhdc_auto_orig</t>
        </is>
      </c>
      <c r="B898" t="inlineStr">
        <is>
          <t>Auto originations</t>
        </is>
      </c>
      <c r="C898" s="24" t="inlineStr">
        <is>
          <t>freq=quarterly; transform=yoy_pct; class=A; geo=national</t>
        </is>
      </c>
    </row>
    <row r="899">
      <c r="A899" s="26" t="inlineStr">
        <is>
          <t>period</t>
        </is>
      </c>
      <c r="B899" s="26" t="inlineStr">
        <is>
          <t>value</t>
        </is>
      </c>
    </row>
    <row r="962">
      <c r="A962" s="25" t="inlineStr">
        <is>
          <t>hhdc_mortgage_orig</t>
        </is>
      </c>
      <c r="B962" t="inlineStr">
        <is>
          <t>Mortgage originations</t>
        </is>
      </c>
      <c r="C962" s="24" t="inlineStr">
        <is>
          <t>freq=quarterly; transform=yoy_pct; class=A; geo=national</t>
        </is>
      </c>
    </row>
    <row r="963">
      <c r="A963" s="26" t="inlineStr">
        <is>
          <t>period</t>
        </is>
      </c>
      <c r="B963" s="26" t="inlineStr">
        <is>
          <t>value</t>
        </is>
      </c>
    </row>
    <row r="1026">
      <c r="A1026" s="25" t="inlineStr">
        <is>
          <t>hhdc_state_balance_annual</t>
        </is>
      </c>
      <c r="B1026" t="inlineStr">
        <is>
          <t>State total balance (annual Q4)</t>
        </is>
      </c>
      <c r="C1026" s="24" t="inlineStr">
        <is>
          <t>freq=annual; transform=yoy_pct; class=A; geo=state_annual</t>
        </is>
      </c>
    </row>
    <row r="1027">
      <c r="A1027" s="26" t="inlineStr">
        <is>
          <t>period</t>
        </is>
      </c>
      <c r="B1027" s="26" t="inlineStr">
        <is>
          <t>value</t>
        </is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S42"/>
  <sheetViews>
    <sheetView showGridLines="0" workbookViewId="0">
      <selection activeCell="A1" sqref="A1"/>
    </sheetView>
  </sheetViews>
  <sheetFormatPr baseColWidth="8" defaultRowHeight="15"/>
  <cols>
    <col width="26" customWidth="1" min="1" max="1"/>
    <col width="16" customWidth="1" min="2" max="2"/>
    <col width="16" customWidth="1" min="3" max="3"/>
  </cols>
  <sheetData>
    <row r="1">
      <c r="A1" s="25" t="inlineStr">
        <is>
          <t>Consumer Credit-Risk Monitor (bureau feed) -- CONFIG (the knob panel). Edit values here; no code change needed.</t>
        </is>
      </c>
    </row>
    <row r="3">
      <c r="A3" s="27" t="inlineStr">
        <is>
          <t>[SETTINGS]</t>
        </is>
      </c>
    </row>
    <row r="4">
      <c r="A4" t="inlineStr">
        <is>
          <t>key</t>
        </is>
      </c>
      <c r="B4" t="inlineStr">
        <is>
          <t>value</t>
        </is>
      </c>
      <c r="C4" t="inlineStr">
        <is>
          <t>help</t>
        </is>
      </c>
    </row>
    <row r="5">
      <c r="A5" t="inlineStr">
        <is>
          <t>demo_mode</t>
        </is>
      </c>
      <c r="B5" t="inlineStr">
        <is>
          <t>FALSE</t>
        </is>
      </c>
      <c r="C5" t="inlineStr">
        <is>
          <t>TRUE = offline deterministic HhdcDemoProvider (no network/key), for trying the button and tests.</t>
        </is>
      </c>
    </row>
    <row r="6">
      <c r="A6" t="inlineStr">
        <is>
          <t>raw_slots</t>
        </is>
      </c>
      <c r="B6" t="inlineStr">
        <is>
          <t>60</t>
        </is>
      </c>
      <c r="C6" t="inlineStr">
        <is>
          <t>observations kept per series (newest-first). BUILT INTO the dashboard formulas -- changing it requires rebuilding the workbook (make_workbook.py); the runner refuses a mismatched layout.</t>
        </is>
      </c>
    </row>
    <row r="7">
      <c r="A7" t="inlineStr">
        <is>
          <t>http_min_interval</t>
        </is>
      </c>
      <c r="B7" t="inlineStr">
        <is>
          <t>0.0</t>
        </is>
      </c>
      <c r="C7" t="inlineStr">
        <is>
          <t>seconds between live HHDC downloads (conditional-fetch; HHDC is a static published table, no API quota).</t>
        </is>
      </c>
    </row>
    <row r="8">
      <c r="A8" t="inlineStr">
        <is>
          <t>secret_env</t>
        </is>
      </c>
      <c r="B8" t="inlineStr"/>
      <c r="C8" t="inlineStr">
        <is>
          <t>NAME of the env var holding a licensed (Class C) secret. Empty under the public stand-in. The secret is NEVER hardcoded here -- only the variable name; the value lives in the environment.</t>
        </is>
      </c>
    </row>
    <row r="10">
      <c r="A10" s="27" t="inlineStr">
        <is>
          <t>[THRESHOLDS]</t>
        </is>
      </c>
    </row>
    <row r="11">
      <c r="A11" t="inlineStr">
        <is>
          <t>id</t>
        </is>
      </c>
      <c r="B11" t="inlineStr">
        <is>
          <t>watch</t>
        </is>
      </c>
      <c r="C11" t="inlineStr">
        <is>
          <t>alert</t>
        </is>
      </c>
      <c r="D11" t="inlineStr">
        <is>
          <t>direction</t>
        </is>
      </c>
    </row>
    <row r="12">
      <c r="A12" t="inlineStr">
        <is>
          <t>hhdc_card_90plus</t>
        </is>
      </c>
      <c r="B12" t="n">
        <v>2</v>
      </c>
      <c r="C12" t="n">
        <v>3</v>
      </c>
      <c r="D12" t="inlineStr">
        <is>
          <t>above</t>
        </is>
      </c>
    </row>
    <row r="13">
      <c r="A13" t="inlineStr">
        <is>
          <t>hhdc_auto_90plus</t>
        </is>
      </c>
      <c r="B13" t="n">
        <v>2</v>
      </c>
      <c r="C13" t="n">
        <v>3</v>
      </c>
      <c r="D13" t="inlineStr">
        <is>
          <t>above</t>
        </is>
      </c>
    </row>
    <row r="14">
      <c r="A14" t="inlineStr">
        <is>
          <t>hhdc_mortgage_90plus</t>
        </is>
      </c>
      <c r="B14" t="n">
        <v>1.5</v>
      </c>
      <c r="C14" t="n">
        <v>2.5</v>
      </c>
      <c r="D14" t="inlineStr">
        <is>
          <t>above</t>
        </is>
      </c>
    </row>
    <row r="15">
      <c r="A15" t="inlineStr">
        <is>
          <t>hhdc_flow_to_30</t>
        </is>
      </c>
      <c r="B15" t="n">
        <v>1.5</v>
      </c>
      <c r="C15" t="n">
        <v>2.5</v>
      </c>
      <c r="D15" t="inlineStr">
        <is>
          <t>above</t>
        </is>
      </c>
    </row>
    <row r="16">
      <c r="A16" t="inlineStr">
        <is>
          <t>hhdc_flow_to_90</t>
        </is>
      </c>
      <c r="B16" t="n">
        <v>1</v>
      </c>
      <c r="C16" t="n">
        <v>2</v>
      </c>
      <c r="D16" t="inlineStr">
        <is>
          <t>above</t>
        </is>
      </c>
    </row>
    <row r="17">
      <c r="A17" t="inlineStr">
        <is>
          <t>hhdc_total_balance</t>
        </is>
      </c>
      <c r="B17" t="n">
        <v>5</v>
      </c>
      <c r="C17" t="n">
        <v>10</v>
      </c>
      <c r="D17" t="inlineStr">
        <is>
          <t>above</t>
        </is>
      </c>
    </row>
    <row r="18">
      <c r="A18" t="inlineStr">
        <is>
          <t>hhdc_card_balance</t>
        </is>
      </c>
      <c r="B18" t="n">
        <v>6</v>
      </c>
      <c r="C18" t="n">
        <v>12</v>
      </c>
      <c r="D18" t="inlineStr">
        <is>
          <t>above</t>
        </is>
      </c>
    </row>
    <row r="20">
      <c r="A20" s="27" t="inlineStr">
        <is>
          <t>[SERIES]</t>
        </is>
      </c>
    </row>
    <row r="21">
      <c r="A21" t="inlineStr">
        <is>
          <t>id</t>
        </is>
      </c>
      <c r="B21" t="inlineStr">
        <is>
          <t>title</t>
        </is>
      </c>
      <c r="C21" t="inlineStr">
        <is>
          <t>category</t>
        </is>
      </c>
      <c r="D21" t="inlineStr">
        <is>
          <t>lane</t>
        </is>
      </c>
      <c r="E21" t="inlineStr">
        <is>
          <t>metric_type</t>
        </is>
      </c>
      <c r="F21" t="inlineStr">
        <is>
          <t>frequency</t>
        </is>
      </c>
      <c r="G21" t="inlineStr">
        <is>
          <t>sa_nsa</t>
        </is>
      </c>
      <c r="H21" t="inlineStr">
        <is>
          <t>units</t>
        </is>
      </c>
      <c r="I21" t="inlineStr">
        <is>
          <t>level_rate_index</t>
        </is>
      </c>
      <c r="J21" t="inlineStr">
        <is>
          <t>geo_segment</t>
        </is>
      </c>
      <c r="K21" t="inlineStr">
        <is>
          <t>source_class</t>
        </is>
      </c>
      <c r="L21" t="inlineStr">
        <is>
          <t>dashboard_capable</t>
        </is>
      </c>
      <c r="M21" t="inlineStr">
        <is>
          <t>watchlist_capable</t>
        </is>
      </c>
      <c r="N21" t="inlineStr">
        <is>
          <t>source_url</t>
        </is>
      </c>
      <c r="O21" t="inlineStr">
        <is>
          <t>table_id</t>
        </is>
      </c>
      <c r="P21" t="inlineStr">
        <is>
          <t>sheet</t>
        </is>
      </c>
      <c r="Q21" t="inlineStr">
        <is>
          <t>series_label</t>
        </is>
      </c>
      <c r="R21" t="inlineStr">
        <is>
          <t>transform</t>
        </is>
      </c>
      <c r="S21" t="inlineStr">
        <is>
          <t>notes</t>
        </is>
      </c>
    </row>
    <row r="22">
      <c r="A22" t="inlineStr">
        <is>
          <t>hhdc_total_balance</t>
        </is>
      </c>
      <c r="B22" t="inlineStr">
        <is>
          <t>Total household debt balance</t>
        </is>
      </c>
      <c r="C22" t="inlineStr">
        <is>
          <t>aggregate</t>
        </is>
      </c>
      <c r="D22" t="inlineStr">
        <is>
          <t>dashboard</t>
        </is>
      </c>
      <c r="E22" t="inlineStr">
        <is>
          <t>balance</t>
        </is>
      </c>
      <c r="F22" t="inlineStr">
        <is>
          <t>quarterly</t>
        </is>
      </c>
      <c r="G22" t="inlineStr">
        <is>
          <t>NSA</t>
        </is>
      </c>
      <c r="H22" t="inlineStr">
        <is>
          <t>USD_tn</t>
        </is>
      </c>
      <c r="I22" t="inlineStr">
        <is>
          <t>level</t>
        </is>
      </c>
      <c r="J22" t="inlineStr">
        <is>
          <t>national</t>
        </is>
      </c>
      <c r="K22" t="inlineStr">
        <is>
          <t>A</t>
        </is>
      </c>
      <c r="L22" t="inlineStr">
        <is>
          <t>TRUE</t>
        </is>
      </c>
      <c r="M22" t="inlineStr">
        <is>
          <t>FALSE</t>
        </is>
      </c>
      <c r="N22" t="inlineStr">
        <is>
          <t>https://www.newyorkfed.org/microeconomics/hhdc</t>
        </is>
      </c>
      <c r="O22" t="inlineStr">
        <is>
          <t>total_debt_balance</t>
        </is>
      </c>
      <c r="P22" t="inlineStr">
        <is>
          <t>Page 3 Data</t>
        </is>
      </c>
      <c r="Q22" t="inlineStr">
        <is>
          <t>Total Debt</t>
        </is>
      </c>
      <c r="R22" t="inlineStr">
        <is>
          <t>yoy_pct</t>
        </is>
      </c>
      <c r="S22" t="inlineStr">
        <is>
          <t>5% anonymized Equifax sample, not a census.</t>
        </is>
      </c>
    </row>
    <row r="23">
      <c r="A23" t="inlineStr">
        <is>
          <t>hhdc_mortgage_balance</t>
        </is>
      </c>
      <c r="B23" t="inlineStr">
        <is>
          <t>Mortgage balance</t>
        </is>
      </c>
      <c r="C23" t="inlineStr">
        <is>
          <t>mortgage</t>
        </is>
      </c>
      <c r="D23" t="inlineStr">
        <is>
          <t>dashboard</t>
        </is>
      </c>
      <c r="E23" t="inlineStr">
        <is>
          <t>balance</t>
        </is>
      </c>
      <c r="F23" t="inlineStr">
        <is>
          <t>quarterly</t>
        </is>
      </c>
      <c r="G23" t="inlineStr">
        <is>
          <t>NSA</t>
        </is>
      </c>
      <c r="H23" t="inlineStr">
        <is>
          <t>USD_tn</t>
        </is>
      </c>
      <c r="I23" t="inlineStr">
        <is>
          <t>level</t>
        </is>
      </c>
      <c r="J23" t="inlineStr">
        <is>
          <t>national</t>
        </is>
      </c>
      <c r="K23" t="inlineStr">
        <is>
          <t>A</t>
        </is>
      </c>
      <c r="L23" t="inlineStr">
        <is>
          <t>TRUE</t>
        </is>
      </c>
      <c r="M23" t="inlineStr">
        <is>
          <t>FALSE</t>
        </is>
      </c>
      <c r="N23" t="inlineStr">
        <is>
          <t>https://www.newyorkfed.org/microeconomics/hhdc</t>
        </is>
      </c>
      <c r="O23" t="inlineStr">
        <is>
          <t>total_debt_balance</t>
        </is>
      </c>
      <c r="P23" t="inlineStr">
        <is>
          <t>Page 3 Data</t>
        </is>
      </c>
      <c r="Q23" t="inlineStr">
        <is>
          <t>Mortgage</t>
        </is>
      </c>
      <c r="R23" t="inlineStr">
        <is>
          <t>yoy_pct</t>
        </is>
      </c>
      <c r="S23" t="inlineStr"/>
    </row>
    <row r="24">
      <c r="A24" t="inlineStr">
        <is>
          <t>hhdc_heloc_balance</t>
        </is>
      </c>
      <c r="B24" t="inlineStr">
        <is>
          <t>HELOC balance</t>
        </is>
      </c>
      <c r="C24" t="inlineStr">
        <is>
          <t>heloc</t>
        </is>
      </c>
      <c r="D24" t="inlineStr">
        <is>
          <t>dashboard</t>
        </is>
      </c>
      <c r="E24" t="inlineStr">
        <is>
          <t>balance</t>
        </is>
      </c>
      <c r="F24" t="inlineStr">
        <is>
          <t>quarterly</t>
        </is>
      </c>
      <c r="G24" t="inlineStr">
        <is>
          <t>NSA</t>
        </is>
      </c>
      <c r="H24" t="inlineStr">
        <is>
          <t>USD_bn</t>
        </is>
      </c>
      <c r="I24" t="inlineStr">
        <is>
          <t>level</t>
        </is>
      </c>
      <c r="J24" t="inlineStr">
        <is>
          <t>national</t>
        </is>
      </c>
      <c r="K24" t="inlineStr">
        <is>
          <t>A</t>
        </is>
      </c>
      <c r="L24" t="inlineStr">
        <is>
          <t>TRUE</t>
        </is>
      </c>
      <c r="M24" t="inlineStr">
        <is>
          <t>FALSE</t>
        </is>
      </c>
      <c r="N24" t="inlineStr">
        <is>
          <t>https://www.newyorkfed.org/microeconomics/hhdc</t>
        </is>
      </c>
      <c r="O24" t="inlineStr">
        <is>
          <t>total_debt_balance</t>
        </is>
      </c>
      <c r="P24" t="inlineStr">
        <is>
          <t>Page 3 Data</t>
        </is>
      </c>
      <c r="Q24" t="inlineStr">
        <is>
          <t>HE Revolving</t>
        </is>
      </c>
      <c r="R24" t="inlineStr">
        <is>
          <t>yoy_pct</t>
        </is>
      </c>
      <c r="S24" t="inlineStr"/>
    </row>
    <row r="25">
      <c r="A25" t="inlineStr">
        <is>
          <t>hhdc_auto_balance</t>
        </is>
      </c>
      <c r="B25" t="inlineStr">
        <is>
          <t>Auto loan balance</t>
        </is>
      </c>
      <c r="C25" t="inlineStr">
        <is>
          <t>auto</t>
        </is>
      </c>
      <c r="D25" t="inlineStr">
        <is>
          <t>dashboard</t>
        </is>
      </c>
      <c r="E25" t="inlineStr">
        <is>
          <t>balance</t>
        </is>
      </c>
      <c r="F25" t="inlineStr">
        <is>
          <t>quarterly</t>
        </is>
      </c>
      <c r="G25" t="inlineStr">
        <is>
          <t>NSA</t>
        </is>
      </c>
      <c r="H25" t="inlineStr">
        <is>
          <t>USD_tn</t>
        </is>
      </c>
      <c r="I25" t="inlineStr">
        <is>
          <t>level</t>
        </is>
      </c>
      <c r="J25" t="inlineStr">
        <is>
          <t>national</t>
        </is>
      </c>
      <c r="K25" t="inlineStr">
        <is>
          <t>A</t>
        </is>
      </c>
      <c r="L25" t="inlineStr">
        <is>
          <t>TRUE</t>
        </is>
      </c>
      <c r="M25" t="inlineStr">
        <is>
          <t>FALSE</t>
        </is>
      </c>
      <c r="N25" t="inlineStr">
        <is>
          <t>https://www.newyorkfed.org/microeconomics/hhdc</t>
        </is>
      </c>
      <c r="O25" t="inlineStr">
        <is>
          <t>total_debt_balance</t>
        </is>
      </c>
      <c r="P25" t="inlineStr">
        <is>
          <t>Page 3 Data</t>
        </is>
      </c>
      <c r="Q25" t="inlineStr">
        <is>
          <t>Auto Loan</t>
        </is>
      </c>
      <c r="R25" t="inlineStr">
        <is>
          <t>yoy_pct</t>
        </is>
      </c>
      <c r="S25" t="inlineStr"/>
    </row>
    <row r="26">
      <c r="A26" t="inlineStr">
        <is>
          <t>hhdc_card_balance</t>
        </is>
      </c>
      <c r="B26" t="inlineStr">
        <is>
          <t>Credit card balance</t>
        </is>
      </c>
      <c r="C26" t="inlineStr">
        <is>
          <t>card</t>
        </is>
      </c>
      <c r="D26" t="inlineStr">
        <is>
          <t>dashboard</t>
        </is>
      </c>
      <c r="E26" t="inlineStr">
        <is>
          <t>balance</t>
        </is>
      </c>
      <c r="F26" t="inlineStr">
        <is>
          <t>quarterly</t>
        </is>
      </c>
      <c r="G26" t="inlineStr">
        <is>
          <t>NSA</t>
        </is>
      </c>
      <c r="H26" t="inlineStr">
        <is>
          <t>USD_tn</t>
        </is>
      </c>
      <c r="I26" t="inlineStr">
        <is>
          <t>level</t>
        </is>
      </c>
      <c r="J26" t="inlineStr">
        <is>
          <t>national</t>
        </is>
      </c>
      <c r="K26" t="inlineStr">
        <is>
          <t>A</t>
        </is>
      </c>
      <c r="L26" t="inlineStr">
        <is>
          <t>TRUE</t>
        </is>
      </c>
      <c r="M26" t="inlineStr">
        <is>
          <t>FALSE</t>
        </is>
      </c>
      <c r="N26" t="inlineStr">
        <is>
          <t>https://www.newyorkfed.org/microeconomics/hhdc</t>
        </is>
      </c>
      <c r="O26" t="inlineStr">
        <is>
          <t>total_debt_balance</t>
        </is>
      </c>
      <c r="P26" t="inlineStr">
        <is>
          <t>Page 3 Data</t>
        </is>
      </c>
      <c r="Q26" t="inlineStr">
        <is>
          <t>Credit Card</t>
        </is>
      </c>
      <c r="R26" t="inlineStr">
        <is>
          <t>yoy_pct</t>
        </is>
      </c>
      <c r="S26" t="inlineStr">
        <is>
          <t>CIIR Q1'26 ref: bankcard $1.12tn (+4.6% YoY).</t>
        </is>
      </c>
    </row>
    <row r="27">
      <c r="A27" t="inlineStr">
        <is>
          <t>hhdc_student_balance</t>
        </is>
      </c>
      <c r="B27" t="inlineStr">
        <is>
          <t>Student loan balance</t>
        </is>
      </c>
      <c r="C27" t="inlineStr">
        <is>
          <t>student</t>
        </is>
      </c>
      <c r="D27" t="inlineStr">
        <is>
          <t>dashboard</t>
        </is>
      </c>
      <c r="E27" t="inlineStr">
        <is>
          <t>balance</t>
        </is>
      </c>
      <c r="F27" t="inlineStr">
        <is>
          <t>quarterly</t>
        </is>
      </c>
      <c r="G27" t="inlineStr">
        <is>
          <t>NSA</t>
        </is>
      </c>
      <c r="H27" t="inlineStr">
        <is>
          <t>USD_tn</t>
        </is>
      </c>
      <c r="I27" t="inlineStr">
        <is>
          <t>level</t>
        </is>
      </c>
      <c r="J27" t="inlineStr">
        <is>
          <t>national</t>
        </is>
      </c>
      <c r="K27" t="inlineStr">
        <is>
          <t>A</t>
        </is>
      </c>
      <c r="L27" t="inlineStr">
        <is>
          <t>TRUE</t>
        </is>
      </c>
      <c r="M27" t="inlineStr">
        <is>
          <t>FALSE</t>
        </is>
      </c>
      <c r="N27" t="inlineStr">
        <is>
          <t>https://www.newyorkfed.org/microeconomics/hhdc</t>
        </is>
      </c>
      <c r="O27" t="inlineStr">
        <is>
          <t>total_debt_balance</t>
        </is>
      </c>
      <c r="P27" t="inlineStr">
        <is>
          <t>Page 3 Data</t>
        </is>
      </c>
      <c r="Q27" t="inlineStr">
        <is>
          <t>Student Loan</t>
        </is>
      </c>
      <c r="R27" t="inlineStr">
        <is>
          <t>yoy_pct</t>
        </is>
      </c>
      <c r="S27" t="inlineStr"/>
    </row>
    <row r="28">
      <c r="A28" t="inlineStr">
        <is>
          <t>hhdc_personal_balance</t>
        </is>
      </c>
      <c r="B28" t="inlineStr">
        <is>
          <t>Personal/unsecured balance</t>
        </is>
      </c>
      <c r="C28" t="inlineStr">
        <is>
          <t>personal</t>
        </is>
      </c>
      <c r="D28" t="inlineStr">
        <is>
          <t>dashboard</t>
        </is>
      </c>
      <c r="E28" t="inlineStr">
        <is>
          <t>balance</t>
        </is>
      </c>
      <c r="F28" t="inlineStr">
        <is>
          <t>quarterly</t>
        </is>
      </c>
      <c r="G28" t="inlineStr">
        <is>
          <t>NSA</t>
        </is>
      </c>
      <c r="H28" t="inlineStr">
        <is>
          <t>USD_bn</t>
        </is>
      </c>
      <c r="I28" t="inlineStr">
        <is>
          <t>level</t>
        </is>
      </c>
      <c r="J28" t="inlineStr">
        <is>
          <t>national</t>
        </is>
      </c>
      <c r="K28" t="inlineStr">
        <is>
          <t>A</t>
        </is>
      </c>
      <c r="L28" t="inlineStr">
        <is>
          <t>TRUE</t>
        </is>
      </c>
      <c r="M28" t="inlineStr">
        <is>
          <t>FALSE</t>
        </is>
      </c>
      <c r="N28" t="inlineStr">
        <is>
          <t>https://www.newyorkfed.org/microeconomics/hhdc</t>
        </is>
      </c>
      <c r="O28" t="inlineStr">
        <is>
          <t>total_debt_balance</t>
        </is>
      </c>
      <c r="P28" t="inlineStr">
        <is>
          <t>Page 3 Data</t>
        </is>
      </c>
      <c r="Q28" t="inlineStr">
        <is>
          <t>Other</t>
        </is>
      </c>
      <c r="R28" t="inlineStr">
        <is>
          <t>yoy_pct</t>
        </is>
      </c>
      <c r="S28" t="inlineStr"/>
    </row>
    <row r="29">
      <c r="A29" t="inlineStr">
        <is>
          <t>hhdc_card_90plus</t>
        </is>
      </c>
      <c r="B29" t="inlineStr">
        <is>
          <t>Credit card 90+ DPD rate</t>
        </is>
      </c>
      <c r="C29" t="inlineStr">
        <is>
          <t>card</t>
        </is>
      </c>
      <c r="D29" t="inlineStr">
        <is>
          <t>dashboard</t>
        </is>
      </c>
      <c r="E29" t="inlineStr">
        <is>
          <t>delinq_rate</t>
        </is>
      </c>
      <c r="F29" t="inlineStr">
        <is>
          <t>quarterly</t>
        </is>
      </c>
      <c r="G29" t="inlineStr">
        <is>
          <t>NSA</t>
        </is>
      </c>
      <c r="H29" t="inlineStr">
        <is>
          <t>pct</t>
        </is>
      </c>
      <c r="I29" t="inlineStr">
        <is>
          <t>rate</t>
        </is>
      </c>
      <c r="J29" t="inlineStr">
        <is>
          <t>national</t>
        </is>
      </c>
      <c r="K29" t="inlineStr">
        <is>
          <t>A</t>
        </is>
      </c>
      <c r="L29" t="inlineStr">
        <is>
          <t>TRUE</t>
        </is>
      </c>
      <c r="M29" t="inlineStr">
        <is>
          <t>FALSE</t>
        </is>
      </c>
      <c r="N29" t="inlineStr">
        <is>
          <t>https://www.newyorkfed.org/microeconomics/hhdc</t>
        </is>
      </c>
      <c r="O29" t="inlineStr">
        <is>
          <t>pct_balance_90plus</t>
        </is>
      </c>
      <c r="P29" t="inlineStr">
        <is>
          <t>Page 12 Data</t>
        </is>
      </c>
      <c r="Q29" t="inlineStr">
        <is>
          <t>Credit Card</t>
        </is>
      </c>
      <c r="R29" t="inlineStr">
        <is>
          <t>level</t>
        </is>
      </c>
      <c r="S29" t="inlineStr">
        <is>
          <t>CIIR Q1'26 ref: bankcard 90+ DPD 2.53% (+10bps YoY).</t>
        </is>
      </c>
    </row>
    <row r="30">
      <c r="A30" t="inlineStr">
        <is>
          <t>hhdc_auto_90plus</t>
        </is>
      </c>
      <c r="B30" t="inlineStr">
        <is>
          <t>Auto 90+ DPD rate</t>
        </is>
      </c>
      <c r="C30" t="inlineStr">
        <is>
          <t>auto</t>
        </is>
      </c>
      <c r="D30" t="inlineStr">
        <is>
          <t>dashboard</t>
        </is>
      </c>
      <c r="E30" t="inlineStr">
        <is>
          <t>delinq_rate</t>
        </is>
      </c>
      <c r="F30" t="inlineStr">
        <is>
          <t>quarterly</t>
        </is>
      </c>
      <c r="G30" t="inlineStr">
        <is>
          <t>NSA</t>
        </is>
      </c>
      <c r="H30" t="inlineStr">
        <is>
          <t>pct</t>
        </is>
      </c>
      <c r="I30" t="inlineStr">
        <is>
          <t>rate</t>
        </is>
      </c>
      <c r="J30" t="inlineStr">
        <is>
          <t>national</t>
        </is>
      </c>
      <c r="K30" t="inlineStr">
        <is>
          <t>A</t>
        </is>
      </c>
      <c r="L30" t="inlineStr">
        <is>
          <t>TRUE</t>
        </is>
      </c>
      <c r="M30" t="inlineStr">
        <is>
          <t>FALSE</t>
        </is>
      </c>
      <c r="N30" t="inlineStr">
        <is>
          <t>https://www.newyorkfed.org/microeconomics/hhdc</t>
        </is>
      </c>
      <c r="O30" t="inlineStr">
        <is>
          <t>pct_balance_90plus</t>
        </is>
      </c>
      <c r="P30" t="inlineStr">
        <is>
          <t>Page 12 Data</t>
        </is>
      </c>
      <c r="Q30" t="inlineStr">
        <is>
          <t>Auto Loan</t>
        </is>
      </c>
      <c r="R30" t="inlineStr">
        <is>
          <t>level</t>
        </is>
      </c>
      <c r="S30" t="inlineStr"/>
    </row>
    <row r="31">
      <c r="A31" t="inlineStr">
        <is>
          <t>hhdc_mortgage_90plus</t>
        </is>
      </c>
      <c r="B31" t="inlineStr">
        <is>
          <t>Mortgage 90+ DPD rate</t>
        </is>
      </c>
      <c r="C31" t="inlineStr">
        <is>
          <t>mortgage</t>
        </is>
      </c>
      <c r="D31" t="inlineStr">
        <is>
          <t>dashboard</t>
        </is>
      </c>
      <c r="E31" t="inlineStr">
        <is>
          <t>delinq_rate</t>
        </is>
      </c>
      <c r="F31" t="inlineStr">
        <is>
          <t>quarterly</t>
        </is>
      </c>
      <c r="G31" t="inlineStr">
        <is>
          <t>NSA</t>
        </is>
      </c>
      <c r="H31" t="inlineStr">
        <is>
          <t>pct</t>
        </is>
      </c>
      <c r="I31" t="inlineStr">
        <is>
          <t>rate</t>
        </is>
      </c>
      <c r="J31" t="inlineStr">
        <is>
          <t>national</t>
        </is>
      </c>
      <c r="K31" t="inlineStr">
        <is>
          <t>A</t>
        </is>
      </c>
      <c r="L31" t="inlineStr">
        <is>
          <t>TRUE</t>
        </is>
      </c>
      <c r="M31" t="inlineStr">
        <is>
          <t>FALSE</t>
        </is>
      </c>
      <c r="N31" t="inlineStr">
        <is>
          <t>https://www.newyorkfed.org/microeconomics/hhdc</t>
        </is>
      </c>
      <c r="O31" t="inlineStr">
        <is>
          <t>pct_balance_90plus</t>
        </is>
      </c>
      <c r="P31" t="inlineStr">
        <is>
          <t>Page 12 Data</t>
        </is>
      </c>
      <c r="Q31" t="inlineStr">
        <is>
          <t>Mortgage</t>
        </is>
      </c>
      <c r="R31" t="inlineStr">
        <is>
          <t>level</t>
        </is>
      </c>
      <c r="S31" t="inlineStr"/>
    </row>
    <row r="32">
      <c r="A32" t="inlineStr">
        <is>
          <t>hhdc_flow_to_30</t>
        </is>
      </c>
      <c r="B32" t="inlineStr">
        <is>
          <t>Flow into 30+ DPD (all products)</t>
        </is>
      </c>
      <c r="C32" t="inlineStr">
        <is>
          <t>aggregate</t>
        </is>
      </c>
      <c r="D32" t="inlineStr">
        <is>
          <t>dashboard</t>
        </is>
      </c>
      <c r="E32" t="inlineStr">
        <is>
          <t>delinq_flow</t>
        </is>
      </c>
      <c r="F32" t="inlineStr">
        <is>
          <t>quarterly</t>
        </is>
      </c>
      <c r="G32" t="inlineStr">
        <is>
          <t>NSA</t>
        </is>
      </c>
      <c r="H32" t="inlineStr">
        <is>
          <t>pct</t>
        </is>
      </c>
      <c r="I32" t="inlineStr">
        <is>
          <t>rate</t>
        </is>
      </c>
      <c r="J32" t="inlineStr">
        <is>
          <t>national</t>
        </is>
      </c>
      <c r="K32" t="inlineStr">
        <is>
          <t>A</t>
        </is>
      </c>
      <c r="L32" t="inlineStr">
        <is>
          <t>TRUE</t>
        </is>
      </c>
      <c r="M32" t="inlineStr">
        <is>
          <t>FALSE</t>
        </is>
      </c>
      <c r="N32" t="inlineStr">
        <is>
          <t>https://www.newyorkfed.org/microeconomics/hhdc</t>
        </is>
      </c>
      <c r="O32" t="inlineStr">
        <is>
          <t>flow_into_delinquency</t>
        </is>
      </c>
      <c r="P32" t="inlineStr">
        <is>
          <t>Page 13 Data</t>
        </is>
      </c>
      <c r="Q32" t="inlineStr">
        <is>
          <t>30+ Flow</t>
        </is>
      </c>
      <c r="R32" t="inlineStr">
        <is>
          <t>level</t>
        </is>
      </c>
      <c r="S32" t="inlineStr">
        <is>
          <t>Transition flow into early delinquency.</t>
        </is>
      </c>
    </row>
    <row r="33">
      <c r="A33" t="inlineStr">
        <is>
          <t>hhdc_flow_to_90</t>
        </is>
      </c>
      <c r="B33" t="inlineStr">
        <is>
          <t>Flow into 90+ DPD (all products)</t>
        </is>
      </c>
      <c r="C33" t="inlineStr">
        <is>
          <t>aggregate</t>
        </is>
      </c>
      <c r="D33" t="inlineStr">
        <is>
          <t>dashboard</t>
        </is>
      </c>
      <c r="E33" t="inlineStr">
        <is>
          <t>delinq_flow</t>
        </is>
      </c>
      <c r="F33" t="inlineStr">
        <is>
          <t>quarterly</t>
        </is>
      </c>
      <c r="G33" t="inlineStr">
        <is>
          <t>NSA</t>
        </is>
      </c>
      <c r="H33" t="inlineStr">
        <is>
          <t>pct</t>
        </is>
      </c>
      <c r="I33" t="inlineStr">
        <is>
          <t>rate</t>
        </is>
      </c>
      <c r="J33" t="inlineStr">
        <is>
          <t>national</t>
        </is>
      </c>
      <c r="K33" t="inlineStr">
        <is>
          <t>A</t>
        </is>
      </c>
      <c r="L33" t="inlineStr">
        <is>
          <t>TRUE</t>
        </is>
      </c>
      <c r="M33" t="inlineStr">
        <is>
          <t>FALSE</t>
        </is>
      </c>
      <c r="N33" t="inlineStr">
        <is>
          <t>https://www.newyorkfed.org/microeconomics/hhdc</t>
        </is>
      </c>
      <c r="O33" t="inlineStr">
        <is>
          <t>flow_into_delinquency</t>
        </is>
      </c>
      <c r="P33" t="inlineStr">
        <is>
          <t>Page 13 Data</t>
        </is>
      </c>
      <c r="Q33" t="inlineStr">
        <is>
          <t>90+ Flow</t>
        </is>
      </c>
      <c r="R33" t="inlineStr">
        <is>
          <t>level</t>
        </is>
      </c>
      <c r="S33" t="inlineStr">
        <is>
          <t>Transition flow into serious delinquency.</t>
        </is>
      </c>
    </row>
    <row r="34">
      <c r="A34" t="inlineStr">
        <is>
          <t>hhdc_card_orig</t>
        </is>
      </c>
      <c r="B34" t="inlineStr">
        <is>
          <t>Bankcard originations</t>
        </is>
      </c>
      <c r="C34" t="inlineStr">
        <is>
          <t>card</t>
        </is>
      </c>
      <c r="D34" t="inlineStr">
        <is>
          <t>dashboard</t>
        </is>
      </c>
      <c r="E34" t="inlineStr">
        <is>
          <t>origination</t>
        </is>
      </c>
      <c r="F34" t="inlineStr">
        <is>
          <t>quarterly</t>
        </is>
      </c>
      <c r="G34" t="inlineStr">
        <is>
          <t>NSA</t>
        </is>
      </c>
      <c r="H34" t="inlineStr">
        <is>
          <t>count_m</t>
        </is>
      </c>
      <c r="I34" t="inlineStr">
        <is>
          <t>level</t>
        </is>
      </c>
      <c r="J34" t="inlineStr">
        <is>
          <t>national</t>
        </is>
      </c>
      <c r="K34" t="inlineStr">
        <is>
          <t>A</t>
        </is>
      </c>
      <c r="L34" t="inlineStr">
        <is>
          <t>TRUE</t>
        </is>
      </c>
      <c r="M34" t="inlineStr">
        <is>
          <t>FALSE</t>
        </is>
      </c>
      <c r="N34" t="inlineStr">
        <is>
          <t>https://www.newyorkfed.org/microeconomics/hhdc</t>
        </is>
      </c>
      <c r="O34" t="inlineStr">
        <is>
          <t>card_originations</t>
        </is>
      </c>
      <c r="P34" t="inlineStr">
        <is>
          <t>Page 9 Data</t>
        </is>
      </c>
      <c r="Q34" t="inlineStr">
        <is>
          <t>New Cards</t>
        </is>
      </c>
      <c r="R34" t="inlineStr">
        <is>
          <t>yoy_pct</t>
        </is>
      </c>
      <c r="S34" t="inlineStr">
        <is>
          <t>One-quarter lag; CIIR ref 21.9M (+13% YoY, Q4'25).</t>
        </is>
      </c>
    </row>
    <row r="35">
      <c r="A35" t="inlineStr">
        <is>
          <t>hhdc_personal_orig</t>
        </is>
      </c>
      <c r="B35" t="inlineStr">
        <is>
          <t>Personal-loan originations</t>
        </is>
      </c>
      <c r="C35" t="inlineStr">
        <is>
          <t>personal</t>
        </is>
      </c>
      <c r="D35" t="inlineStr">
        <is>
          <t>dashboard</t>
        </is>
      </c>
      <c r="E35" t="inlineStr">
        <is>
          <t>origination</t>
        </is>
      </c>
      <c r="F35" t="inlineStr">
        <is>
          <t>quarterly</t>
        </is>
      </c>
      <c r="G35" t="inlineStr">
        <is>
          <t>NSA</t>
        </is>
      </c>
      <c r="H35" t="inlineStr">
        <is>
          <t>count_m</t>
        </is>
      </c>
      <c r="I35" t="inlineStr">
        <is>
          <t>level</t>
        </is>
      </c>
      <c r="J35" t="inlineStr">
        <is>
          <t>national</t>
        </is>
      </c>
      <c r="K35" t="inlineStr">
        <is>
          <t>A</t>
        </is>
      </c>
      <c r="L35" t="inlineStr">
        <is>
          <t>TRUE</t>
        </is>
      </c>
      <c r="M35" t="inlineStr">
        <is>
          <t>FALSE</t>
        </is>
      </c>
      <c r="N35" t="inlineStr">
        <is>
          <t>https://www.newyorkfed.org/microeconomics/hhdc</t>
        </is>
      </c>
      <c r="O35" t="inlineStr">
        <is>
          <t>loan_originations</t>
        </is>
      </c>
      <c r="P35" t="inlineStr">
        <is>
          <t>Page 7 Data</t>
        </is>
      </c>
      <c r="Q35" t="inlineStr">
        <is>
          <t>Personal</t>
        </is>
      </c>
      <c r="R35" t="inlineStr">
        <is>
          <t>yoy_pct</t>
        </is>
      </c>
      <c r="S35" t="inlineStr">
        <is>
          <t>CIIR ref record 7.6M (+21.7% YoY).</t>
        </is>
      </c>
    </row>
    <row r="36">
      <c r="A36" t="inlineStr">
        <is>
          <t>hhdc_auto_orig</t>
        </is>
      </c>
      <c r="B36" t="inlineStr">
        <is>
          <t>Auto originations</t>
        </is>
      </c>
      <c r="C36" t="inlineStr">
        <is>
          <t>auto</t>
        </is>
      </c>
      <c r="D36" t="inlineStr">
        <is>
          <t>dashboard</t>
        </is>
      </c>
      <c r="E36" t="inlineStr">
        <is>
          <t>origination</t>
        </is>
      </c>
      <c r="F36" t="inlineStr">
        <is>
          <t>quarterly</t>
        </is>
      </c>
      <c r="G36" t="inlineStr">
        <is>
          <t>NSA</t>
        </is>
      </c>
      <c r="H36" t="inlineStr">
        <is>
          <t>count_m</t>
        </is>
      </c>
      <c r="I36" t="inlineStr">
        <is>
          <t>level</t>
        </is>
      </c>
      <c r="J36" t="inlineStr">
        <is>
          <t>national</t>
        </is>
      </c>
      <c r="K36" t="inlineStr">
        <is>
          <t>A</t>
        </is>
      </c>
      <c r="L36" t="inlineStr">
        <is>
          <t>TRUE</t>
        </is>
      </c>
      <c r="M36" t="inlineStr">
        <is>
          <t>FALSE</t>
        </is>
      </c>
      <c r="N36" t="inlineStr">
        <is>
          <t>https://www.newyorkfed.org/microeconomics/hhdc</t>
        </is>
      </c>
      <c r="O36" t="inlineStr">
        <is>
          <t>auto_originations</t>
        </is>
      </c>
      <c r="P36" t="inlineStr">
        <is>
          <t>Page 8 Data</t>
        </is>
      </c>
      <c r="Q36" t="inlineStr">
        <is>
          <t>Auto</t>
        </is>
      </c>
      <c r="R36" t="inlineStr">
        <is>
          <t>yoy_pct</t>
        </is>
      </c>
      <c r="S36" t="inlineStr">
        <is>
          <t>One-quarter lag.</t>
        </is>
      </c>
    </row>
    <row r="37">
      <c r="A37" t="inlineStr">
        <is>
          <t>hhdc_mortgage_orig</t>
        </is>
      </c>
      <c r="B37" t="inlineStr">
        <is>
          <t>Mortgage originations</t>
        </is>
      </c>
      <c r="C37" t="inlineStr">
        <is>
          <t>mortgage</t>
        </is>
      </c>
      <c r="D37" t="inlineStr">
        <is>
          <t>dashboard</t>
        </is>
      </c>
      <c r="E37" t="inlineStr">
        <is>
          <t>origination</t>
        </is>
      </c>
      <c r="F37" t="inlineStr">
        <is>
          <t>quarterly</t>
        </is>
      </c>
      <c r="G37" t="inlineStr">
        <is>
          <t>NSA</t>
        </is>
      </c>
      <c r="H37" t="inlineStr">
        <is>
          <t>USD_bn</t>
        </is>
      </c>
      <c r="I37" t="inlineStr">
        <is>
          <t>level</t>
        </is>
      </c>
      <c r="J37" t="inlineStr">
        <is>
          <t>national</t>
        </is>
      </c>
      <c r="K37" t="inlineStr">
        <is>
          <t>A</t>
        </is>
      </c>
      <c r="L37" t="inlineStr">
        <is>
          <t>TRUE</t>
        </is>
      </c>
      <c r="M37" t="inlineStr">
        <is>
          <t>FALSE</t>
        </is>
      </c>
      <c r="N37" t="inlineStr">
        <is>
          <t>https://www.newyorkfed.org/microeconomics/hhdc</t>
        </is>
      </c>
      <c r="O37" t="inlineStr">
        <is>
          <t>mortgage_originations</t>
        </is>
      </c>
      <c r="P37" t="inlineStr">
        <is>
          <t>Page 6 Data</t>
        </is>
      </c>
      <c r="Q37" t="inlineStr">
        <is>
          <t>Mortgage</t>
        </is>
      </c>
      <c r="R37" t="inlineStr">
        <is>
          <t>yoy_pct</t>
        </is>
      </c>
      <c r="S37" t="inlineStr">
        <is>
          <t>One-quarter lag.</t>
        </is>
      </c>
    </row>
    <row r="38">
      <c r="A38" t="inlineStr">
        <is>
          <t>hhdc_state_balance_annual</t>
        </is>
      </c>
      <c r="B38" t="inlineStr">
        <is>
          <t>State total balance (annual Q4)</t>
        </is>
      </c>
      <c r="C38" t="inlineStr">
        <is>
          <t>aggregate</t>
        </is>
      </c>
      <c r="D38" t="inlineStr">
        <is>
          <t>dashboard</t>
        </is>
      </c>
      <c r="E38" t="inlineStr">
        <is>
          <t>balance</t>
        </is>
      </c>
      <c r="F38" t="inlineStr">
        <is>
          <t>annual</t>
        </is>
      </c>
      <c r="G38" t="inlineStr">
        <is>
          <t>NSA</t>
        </is>
      </c>
      <c r="H38" t="inlineStr">
        <is>
          <t>USD_bn</t>
        </is>
      </c>
      <c r="I38" t="inlineStr">
        <is>
          <t>level</t>
        </is>
      </c>
      <c r="J38" t="inlineStr">
        <is>
          <t>state_annual</t>
        </is>
      </c>
      <c r="K38" t="inlineStr">
        <is>
          <t>A</t>
        </is>
      </c>
      <c r="L38" t="inlineStr">
        <is>
          <t>TRUE</t>
        </is>
      </c>
      <c r="M38" t="inlineStr">
        <is>
          <t>FALSE</t>
        </is>
      </c>
      <c r="N38" t="inlineStr">
        <is>
          <t>https://www.newyorkfed.org/microeconomics/hhdc</t>
        </is>
      </c>
      <c r="O38" t="inlineStr">
        <is>
          <t>state_level_debt</t>
        </is>
      </c>
      <c r="P38" t="inlineStr">
        <is>
          <t>State Data</t>
        </is>
      </c>
      <c r="Q38" t="inlineStr">
        <is>
          <t>Total</t>
        </is>
      </c>
      <c r="R38" t="inlineStr">
        <is>
          <t>yoy_pct</t>
        </is>
      </c>
      <c r="S38" t="inlineStr">
        <is>
          <t>Annual Q4 only; NOT a watchlist geo key -- quarterly all-state withheld by Equifax contract.</t>
        </is>
      </c>
    </row>
    <row r="39">
      <c r="A39" t="inlineStr">
        <is>
          <t>WATCHLIST_MSA_PLACEHOLDER</t>
        </is>
      </c>
      <c r="B39" t="inlineStr">
        <is>
          <t>MSA watchlist (LICENSED req'd)</t>
        </is>
      </c>
      <c r="C39" t="inlineStr">
        <is>
          <t>aggregate</t>
        </is>
      </c>
      <c r="D39" t="inlineStr">
        <is>
          <t>watchlist</t>
        </is>
      </c>
      <c r="E39" t="inlineStr">
        <is>
          <t>delinq_rate</t>
        </is>
      </c>
      <c r="F39" t="inlineStr">
        <is>
          <t>monthly</t>
        </is>
      </c>
      <c r="G39" t="inlineStr">
        <is>
          <t>NSA</t>
        </is>
      </c>
      <c r="H39" t="inlineStr">
        <is>
          <t>pct</t>
        </is>
      </c>
      <c r="I39" t="inlineStr">
        <is>
          <t>rate</t>
        </is>
      </c>
      <c r="J39" t="inlineStr">
        <is>
          <t>msa</t>
        </is>
      </c>
      <c r="K39" t="inlineStr">
        <is>
          <t>A</t>
        </is>
      </c>
      <c r="L39" t="inlineStr">
        <is>
          <t>FALSE</t>
        </is>
      </c>
      <c r="M39" t="inlineStr">
        <is>
          <t>FALSE</t>
        </is>
      </c>
      <c r="N39" t="inlineStr">
        <is>
          <t>https://www.newyorkfed.org/microeconomics/hhdc</t>
        </is>
      </c>
      <c r="O39" t="inlineStr"/>
      <c r="P39" t="inlineStr"/>
      <c r="Q39" t="inlineStr"/>
      <c r="R39" t="inlineStr">
        <is>
          <t>level</t>
        </is>
      </c>
      <c r="S39" t="inlineStr">
        <is>
          <t>GATED: requires Class C Prama MSA feed; refused under public stand-in (source_class=A).</t>
        </is>
      </c>
    </row>
    <row r="41">
      <c r="A41" t="inlineStr">
        <is>
          <t># To add a series: append a [SERIES] row. To open the watchlist lane you need a licensed Class C MSA/account feed (source_class=C, watchlist_capable=TRUE, geo_segment in {msa,account}); a public row can never be promoted into it.</t>
        </is>
      </c>
    </row>
    <row r="42">
      <c r="A42" t="inlineStr">
        <is>
          <t># Score scales differ and must NEVER be silently cross-compared: Equifax Risk Score 280-850 (prime &gt;= 660); VantageScore and FICO use different ranges/cutoffs. Record the scale per series in notes; v1 has no crosswalk and refuses silent comparison.</t>
        </is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A751"/>
  <sheetViews>
    <sheetView showGridLines="0" workbookViewId="0">
      <selection activeCell="A1" sqref="A1"/>
    </sheetView>
  </sheetViews>
  <sheetFormatPr baseColWidth="8" defaultRowHeight="15"/>
  <cols>
    <col width="120" customWidth="1" min="1" max="1"/>
  </cols>
  <sheetData>
    <row r="1">
      <c r="A1" s="28" t="inlineStr">
        <is>
          <t>#!/usr/bin/env python3</t>
        </is>
      </c>
    </row>
    <row r="2">
      <c r="A2" s="28" t="inlineStr">
        <is>
          <t>"""Consumer Credit-Risk Monitor -- runner (the data path).</t>
        </is>
      </c>
    </row>
    <row r="3">
      <c r="A3" s="28" t="inlineStr"/>
    </row>
    <row r="4">
      <c r="A4" s="28" t="inlineStr">
        <is>
          <t>Single source of truth for the data path; embedded verbatim into the workbook's</t>
        </is>
      </c>
    </row>
    <row r="5">
      <c r="A5" s="28" t="inlineStr">
        <is>
          <t>_code_py tab. The VBA ExtractFiles macro writes this back out as runner.py and</t>
        </is>
      </c>
    </row>
    <row r="6">
      <c r="A6" s="28" t="inlineStr">
        <is>
          <t>the user runs it from PowerShell against the CLOSED workbook (openpyxl backend).</t>
        </is>
      </c>
    </row>
    <row r="7">
      <c r="A7" s="28" t="inlineStr"/>
    </row>
    <row r="8">
      <c r="A8" s="28" t="inlineStr">
        <is>
          <t>Built to BUILD_SPEC_BUREAU.md. Clean seams (BUILD SPEC 0.3 / 1a / L6):</t>
        </is>
      </c>
    </row>
    <row r="9">
      <c r="A9" s="28" t="inlineStr"/>
    </row>
    <row r="10">
      <c r="A10" s="28" t="inlineStr">
        <is>
          <t xml:space="preserve">  * ADAPTER SEAM -- the only provider-specific code. Every adapter implements</t>
        </is>
      </c>
    </row>
    <row r="11">
      <c r="A11" s="28" t="inlineStr">
        <is>
          <t xml:space="preserve">    fetch_series(spec, secret) -&gt; list[NormalizedRow] with a FIXED normalized</t>
        </is>
      </c>
    </row>
    <row r="12">
      <c r="A12" s="28" t="inlineStr">
        <is>
          <t xml:space="preserve">    schema; nothing downstream calls provider-specific code. v1 ships two Class A</t>
        </is>
      </c>
    </row>
    <row r="13">
      <c r="A13" s="28" t="inlineStr">
        <is>
          <t xml:space="preserve">    providers (HhdcDemoProvider offline + HhdcProvider live) and an in-process</t>
        </is>
      </c>
    </row>
    <row r="14">
      <c r="A14" s="28" t="inlineStr">
        <is>
          <t xml:space="preserve">    Class C OAuth stub for the swap rehearsal. Licensed feeds are a v2 module swap.</t>
        </is>
      </c>
    </row>
    <row r="15">
      <c r="A15" s="28" t="inlineStr">
        <is>
          <t xml:space="preserve">  * TRANSFORM REGISTRY -- deterministic named transforms (BUILD SPEC sec 3).</t>
        </is>
      </c>
    </row>
    <row r="16">
      <c r="A16" s="28" t="inlineStr">
        <is>
          <t xml:space="preserve">  * THRESHOLD ENGINE  -- config-driven OK/WATCH/ALERT (BUILD SPEC sec 3).</t>
        </is>
      </c>
    </row>
    <row r="17">
      <c r="A17" s="28" t="inlineStr">
        <is>
          <t xml:space="preserve">  * WATCHLIST VALIDATOR -- DEFAULT-DENY WHITELIST (BUILD SPEC 0.1 / sec 3): the</t>
        </is>
      </c>
    </row>
    <row r="18">
      <c r="A18" s="28" t="inlineStr">
        <is>
          <t xml:space="preserve">    watchlist lane is refused for any public/national/annual-aggregate series;</t>
        </is>
      </c>
    </row>
    <row r="19">
      <c r="A19" s="28" t="inlineStr">
        <is>
          <t xml:space="preserve">    it opens only for a licensed Class C MSA/account join key.</t>
        </is>
      </c>
    </row>
    <row r="20">
      <c r="A20" s="28" t="inlineStr"/>
    </row>
    <row r="21">
      <c r="A21" s="28" t="inlineStr">
        <is>
          <t>No AI/LLM anywhere; transforms are pure (BUILD SPEC 0.5). Pure ASCII (L3).</t>
        </is>
      </c>
    </row>
    <row r="22">
      <c r="A22" s="28" t="inlineStr">
        <is>
          <t>"""</t>
        </is>
      </c>
    </row>
    <row r="23">
      <c r="A23" s="28" t="inlineStr">
        <is>
          <t>from __future__ import annotations</t>
        </is>
      </c>
    </row>
    <row r="24">
      <c r="A24" s="28" t="inlineStr"/>
    </row>
    <row r="25">
      <c r="A25" s="28" t="inlineStr">
        <is>
          <t>import argparse</t>
        </is>
      </c>
    </row>
    <row r="26">
      <c r="A26" s="28" t="inlineStr">
        <is>
          <t>import json</t>
        </is>
      </c>
    </row>
    <row r="27">
      <c r="A27" s="28" t="inlineStr">
        <is>
          <t>import math</t>
        </is>
      </c>
    </row>
    <row r="28">
      <c r="A28" s="28" t="inlineStr">
        <is>
          <t>import os</t>
        </is>
      </c>
    </row>
    <row r="29">
      <c r="A29" s="28" t="inlineStr">
        <is>
          <t>import sys</t>
        </is>
      </c>
    </row>
    <row r="30">
      <c r="A30" s="28" t="inlineStr">
        <is>
          <t>import time</t>
        </is>
      </c>
    </row>
    <row r="31">
      <c r="A31" s="28" t="inlineStr">
        <is>
          <t>from dataclasses import dataclass, field</t>
        </is>
      </c>
    </row>
    <row r="32">
      <c r="A32" s="28" t="inlineStr">
        <is>
          <t>from datetime import date, datetime</t>
        </is>
      </c>
    </row>
    <row r="33">
      <c r="A33" s="28" t="inlineStr">
        <is>
          <t>from typing import Dict, List, Optional, Sequence</t>
        </is>
      </c>
    </row>
    <row r="34">
      <c r="A34" s="28" t="inlineStr"/>
    </row>
    <row r="35">
      <c r="A35" s="28" t="inlineStr">
        <is>
          <t>import pandas as pd</t>
        </is>
      </c>
    </row>
    <row r="36">
      <c r="A36" s="28" t="inlineStr"/>
    </row>
    <row r="37">
      <c r="A37" s="28" t="inlineStr">
        <is>
          <t># Fixed raw-block geometry (newest observation first) so dashboard formulas have</t>
        </is>
      </c>
    </row>
    <row r="38">
      <c r="A38" s="28" t="inlineStr">
        <is>
          <t># stable anchors that never shift across refreshes.</t>
        </is>
      </c>
    </row>
    <row r="39">
      <c r="A39" s="28" t="inlineStr">
        <is>
          <t>RAW_TAB = "Raw_HHDC"</t>
        </is>
      </c>
    </row>
    <row r="40">
      <c r="A40" s="28" t="inlineStr">
        <is>
          <t>RAW_SLOTS_DEFAULT = 60          # observation rows kept per series (newest-first)</t>
        </is>
      </c>
    </row>
    <row r="41">
      <c r="A41" s="28" t="inlineStr">
        <is>
          <t>RAW_HEADER_ROWS = 2</t>
        </is>
      </c>
    </row>
    <row r="42">
      <c r="A42" s="28" t="inlineStr">
        <is>
          <t>RAW_GAP_ROWS = 2</t>
        </is>
      </c>
    </row>
    <row r="43">
      <c r="A43" s="28" t="inlineStr">
        <is>
          <t>RAW_FIRST_ROW = 2</t>
        </is>
      </c>
    </row>
    <row r="44">
      <c r="A44" s="28" t="inlineStr">
        <is>
          <t>RAW_PERIOD_COL = 1             # column A</t>
        </is>
      </c>
    </row>
    <row r="45">
      <c r="A45" s="28" t="inlineStr">
        <is>
          <t>RAW_VALUE_COL = 2             # column B</t>
        </is>
      </c>
    </row>
    <row r="46">
      <c r="A46" s="28" t="inlineStr"/>
    </row>
    <row r="47">
      <c r="A47" s="28" t="inlineStr">
        <is>
          <t># Status panel column on each dashboard (free of any merged masthead cells).</t>
        </is>
      </c>
    </row>
    <row r="48">
      <c r="A48" s="28" t="inlineStr">
        <is>
          <t>STATUS_COL = 12               # column L</t>
        </is>
      </c>
    </row>
    <row r="49">
      <c r="A49" s="28" t="inlineStr"/>
    </row>
    <row r="50">
      <c r="A50" s="28" t="inlineStr">
        <is>
          <t>FREQ_PERIODS = {"quarterly": 4, "annual": 1, "monthly": 12}</t>
        </is>
      </c>
    </row>
    <row r="51">
      <c r="A51" s="28" t="inlineStr"/>
    </row>
    <row r="52">
      <c r="A52" s="28" t="inlineStr">
        <is>
          <t># The watchlist join-key whitelist (BUILD SPEC sec 3, gate 3): default-deny.</t>
        </is>
      </c>
    </row>
    <row r="53">
      <c r="A53" s="28" t="inlineStr">
        <is>
          <t>WATCHLIST_GEO_WHITELIST = {"msa", "account"}</t>
        </is>
      </c>
    </row>
    <row r="54">
      <c r="A54" s="28" t="inlineStr">
        <is>
          <t># Geo tags explicitly NOT joinable (documented; refused by default-deny anyway).</t>
        </is>
      </c>
    </row>
    <row r="55">
      <c r="A55" s="28" t="inlineStr">
        <is>
          <t>NON_JOINABLE_GEO = {"national", "state_annual", "region", "census_division", ""}</t>
        </is>
      </c>
    </row>
    <row r="56">
      <c r="A56" s="28" t="inlineStr"/>
    </row>
    <row r="57">
      <c r="A57" s="28" t="inlineStr"/>
    </row>
    <row r="58">
      <c r="A58" s="28" t="inlineStr">
        <is>
          <t>def _freq(frequency: str) -&gt; str:</t>
        </is>
      </c>
    </row>
    <row r="59">
      <c r="A59" s="28" t="inlineStr">
        <is>
          <t xml:space="preserve">    f = (frequency or "").strip().lower()</t>
        </is>
      </c>
    </row>
    <row r="60">
      <c r="A60" s="28" t="inlineStr">
        <is>
          <t xml:space="preserve">    if f.startswith("q"):</t>
        </is>
      </c>
    </row>
    <row r="61">
      <c r="A61" s="28" t="inlineStr">
        <is>
          <t xml:space="preserve">        return "quarterly"</t>
        </is>
      </c>
    </row>
    <row r="62">
      <c r="A62" s="28" t="inlineStr">
        <is>
          <t xml:space="preserve">    if f.startswith("a") or f.startswith("y"):</t>
        </is>
      </c>
    </row>
    <row r="63">
      <c r="A63" s="28" t="inlineStr">
        <is>
          <t xml:space="preserve">        return "annual"</t>
        </is>
      </c>
    </row>
    <row r="64">
      <c r="A64" s="28" t="inlineStr">
        <is>
          <t xml:space="preserve">    if f.startswith("m"):</t>
        </is>
      </c>
    </row>
    <row r="65">
      <c r="A65" s="28" t="inlineStr">
        <is>
          <t xml:space="preserve">        return "monthly"</t>
        </is>
      </c>
    </row>
    <row r="66">
      <c r="A66" s="28" t="inlineStr">
        <is>
          <t xml:space="preserve">    return "quarterly"</t>
        </is>
      </c>
    </row>
    <row r="67">
      <c r="A67" s="28" t="inlineStr"/>
    </row>
    <row r="68">
      <c r="A68" s="28" t="inlineStr"/>
    </row>
    <row r="69">
      <c r="A69" s="28" t="inlineStr">
        <is>
          <t>def periods_per_year(frequency: str) -&gt; int:</t>
        </is>
      </c>
    </row>
    <row r="70">
      <c r="A70" s="28" t="inlineStr">
        <is>
          <t xml:space="preserve">    return FREQ_PERIODS[_freq(frequency)]</t>
        </is>
      </c>
    </row>
    <row r="71">
      <c r="A71" s="28" t="inlineStr"/>
    </row>
    <row r="72">
      <c r="A72" s="28" t="inlineStr"/>
    </row>
    <row r="73">
      <c r="A73" s="28" t="inlineStr">
        <is>
          <t># ---------------------------------------------------------------------------</t>
        </is>
      </c>
    </row>
    <row r="74">
      <c r="A74" s="28" t="inlineStr">
        <is>
          <t># CONFIG MODEL (parsed from the `_config` tab; backend-agnostic)</t>
        </is>
      </c>
    </row>
    <row r="75">
      <c r="A75" s="28" t="inlineStr">
        <is>
          <t># ---------------------------------------------------------------------------</t>
        </is>
      </c>
    </row>
    <row r="76">
      <c r="A76" s="28" t="inlineStr">
        <is>
          <t>SERIES_HEADER = [</t>
        </is>
      </c>
    </row>
    <row r="77">
      <c r="A77" s="28" t="inlineStr">
        <is>
          <t xml:space="preserve">    "id", "title", "category", "lane", "metric_type", "frequency", "sa_nsa",</t>
        </is>
      </c>
    </row>
    <row r="78">
      <c r="A78" s="28" t="inlineStr">
        <is>
          <t xml:space="preserve">    "units", "level_rate_index", "geo_segment", "source_class",</t>
        </is>
      </c>
    </row>
    <row r="79">
      <c r="A79" s="28" t="inlineStr">
        <is>
          <t xml:space="preserve">    "dashboard_capable", "watchlist_capable", "source_url", "table_id", "sheet",</t>
        </is>
      </c>
    </row>
    <row r="80">
      <c r="A80" s="28" t="inlineStr">
        <is>
          <t xml:space="preserve">    "series_label", "transform", "notes",</t>
        </is>
      </c>
    </row>
    <row r="81">
      <c r="A81" s="28" t="inlineStr">
        <is>
          <t>]</t>
        </is>
      </c>
    </row>
    <row r="82">
      <c r="A82" s="28" t="inlineStr"/>
    </row>
    <row r="83">
      <c r="A83" s="28" t="inlineStr"/>
    </row>
    <row r="84">
      <c r="A84" s="28" t="inlineStr">
        <is>
          <t>@dataclass</t>
        </is>
      </c>
    </row>
    <row r="85">
      <c r="A85" s="28" t="inlineStr">
        <is>
          <t>class SeriesSpec:</t>
        </is>
      </c>
    </row>
    <row r="86">
      <c r="A86" s="28" t="inlineStr">
        <is>
          <t xml:space="preserve">    id: str</t>
        </is>
      </c>
    </row>
    <row r="87">
      <c r="A87" s="28" t="inlineStr">
        <is>
          <t xml:space="preserve">    title: str</t>
        </is>
      </c>
    </row>
    <row r="88">
      <c r="A88" s="28" t="inlineStr">
        <is>
          <t xml:space="preserve">    category: str</t>
        </is>
      </c>
    </row>
    <row r="89">
      <c r="A89" s="28" t="inlineStr">
        <is>
          <t xml:space="preserve">    lane: str</t>
        </is>
      </c>
    </row>
    <row r="90">
      <c r="A90" s="28" t="inlineStr">
        <is>
          <t xml:space="preserve">    metric_type: str</t>
        </is>
      </c>
    </row>
    <row r="91">
      <c r="A91" s="28" t="inlineStr">
        <is>
          <t xml:space="preserve">    frequency: str</t>
        </is>
      </c>
    </row>
    <row r="92">
      <c r="A92" s="28" t="inlineStr">
        <is>
          <t xml:space="preserve">    sa_nsa: str</t>
        </is>
      </c>
    </row>
    <row r="93">
      <c r="A93" s="28" t="inlineStr">
        <is>
          <t xml:space="preserve">    units: str</t>
        </is>
      </c>
    </row>
    <row r="94">
      <c r="A94" s="28" t="inlineStr">
        <is>
          <t xml:space="preserve">    level_rate_index: str</t>
        </is>
      </c>
    </row>
    <row r="95">
      <c r="A95" s="28" t="inlineStr">
        <is>
          <t xml:space="preserve">    geo_segment: str</t>
        </is>
      </c>
    </row>
    <row r="96">
      <c r="A96" s="28" t="inlineStr">
        <is>
          <t xml:space="preserve">    source_class: str</t>
        </is>
      </c>
    </row>
    <row r="97">
      <c r="A97" s="28" t="inlineStr">
        <is>
          <t xml:space="preserve">    dashboard_capable: bool</t>
        </is>
      </c>
    </row>
    <row r="98">
      <c r="A98" s="28" t="inlineStr">
        <is>
          <t xml:space="preserve">    watchlist_capable: bool</t>
        </is>
      </c>
    </row>
    <row r="99">
      <c r="A99" s="28" t="inlineStr">
        <is>
          <t xml:space="preserve">    source_url: str</t>
        </is>
      </c>
    </row>
    <row r="100">
      <c r="A100" s="28" t="inlineStr">
        <is>
          <t xml:space="preserve">    table_id: str</t>
        </is>
      </c>
    </row>
    <row r="101">
      <c r="A101" s="28" t="inlineStr">
        <is>
          <t xml:space="preserve">    sheet: str</t>
        </is>
      </c>
    </row>
    <row r="102">
      <c r="A102" s="28" t="inlineStr">
        <is>
          <t xml:space="preserve">    series_label: str</t>
        </is>
      </c>
    </row>
    <row r="103">
      <c r="A103" s="28" t="inlineStr">
        <is>
          <t xml:space="preserve">    transform: str</t>
        </is>
      </c>
    </row>
    <row r="104">
      <c r="A104" s="28" t="inlineStr">
        <is>
          <t xml:space="preserve">    notes: str</t>
        </is>
      </c>
    </row>
    <row r="105">
      <c r="A105" s="28" t="inlineStr"/>
    </row>
    <row r="106">
      <c r="A106" s="28" t="inlineStr"/>
    </row>
    <row r="107">
      <c r="A107" s="28" t="inlineStr">
        <is>
          <t>@dataclass</t>
        </is>
      </c>
    </row>
    <row r="108">
      <c r="A108" s="28" t="inlineStr">
        <is>
          <t>class Threshold:</t>
        </is>
      </c>
    </row>
    <row r="109">
      <c r="A109" s="28" t="inlineStr">
        <is>
          <t xml:space="preserve">    watch: Optional[float]</t>
        </is>
      </c>
    </row>
    <row r="110">
      <c r="A110" s="28" t="inlineStr">
        <is>
          <t xml:space="preserve">    alert: Optional[float]</t>
        </is>
      </c>
    </row>
    <row r="111">
      <c r="A111" s="28" t="inlineStr">
        <is>
          <t xml:space="preserve">    direction: str          # "above" | "below"</t>
        </is>
      </c>
    </row>
    <row r="112">
      <c r="A112" s="28" t="inlineStr"/>
    </row>
    <row r="113">
      <c r="A113" s="28" t="inlineStr"/>
    </row>
    <row r="114">
      <c r="A114" s="28" t="inlineStr">
        <is>
          <t>@dataclass</t>
        </is>
      </c>
    </row>
    <row r="115">
      <c r="A115" s="28" t="inlineStr">
        <is>
          <t>class Config:</t>
        </is>
      </c>
    </row>
    <row r="116">
      <c r="A116" s="28" t="inlineStr">
        <is>
          <t xml:space="preserve">    settings: Dict[str, str] = field(default_factory=dict)</t>
        </is>
      </c>
    </row>
    <row r="117">
      <c r="A117" s="28" t="inlineStr">
        <is>
          <t xml:space="preserve">    thresholds: Dict[str, Threshold] = field(default_factory=dict)</t>
        </is>
      </c>
    </row>
    <row r="118">
      <c r="A118" s="28" t="inlineStr">
        <is>
          <t xml:space="preserve">    series: List[SeriesSpec] = field(default_factory=list)</t>
        </is>
      </c>
    </row>
    <row r="119">
      <c r="A119" s="28" t="inlineStr"/>
    </row>
    <row r="120">
      <c r="A120" s="28" t="inlineStr">
        <is>
          <t xml:space="preserve">    def setting(self, key, default=None):</t>
        </is>
      </c>
    </row>
    <row r="121">
      <c r="A121" s="28" t="inlineStr">
        <is>
          <t xml:space="preserve">        return self.settings.get(key, default)</t>
        </is>
      </c>
    </row>
    <row r="122">
      <c r="A122" s="28" t="inlineStr"/>
    </row>
    <row r="123">
      <c r="A123" s="28" t="inlineStr">
        <is>
          <t xml:space="preserve">    @property</t>
        </is>
      </c>
    </row>
    <row r="124">
      <c r="A124" s="28" t="inlineStr">
        <is>
          <t xml:space="preserve">    def raw_slots(self) -&gt; int:</t>
        </is>
      </c>
    </row>
    <row r="125">
      <c r="A125" s="28" t="inlineStr">
        <is>
          <t xml:space="preserve">        return int(float(self.settings.get("raw_slots", RAW_SLOTS_DEFAULT)))</t>
        </is>
      </c>
    </row>
    <row r="126">
      <c r="A126" s="28" t="inlineStr"/>
    </row>
    <row r="127">
      <c r="A127" s="28" t="inlineStr"/>
    </row>
    <row r="128">
      <c r="A128" s="28" t="inlineStr">
        <is>
          <t>def _as_bool(v) -&gt; bool:</t>
        </is>
      </c>
    </row>
    <row r="129">
      <c r="A129" s="28" t="inlineStr">
        <is>
          <t xml:space="preserve">    return str(v).strip().lower() in ("true", "1", "yes", "y", "t")</t>
        </is>
      </c>
    </row>
    <row r="130">
      <c r="A130" s="28" t="inlineStr"/>
    </row>
    <row r="131">
      <c r="A131" s="28" t="inlineStr"/>
    </row>
    <row r="132">
      <c r="A132" s="28" t="inlineStr">
        <is>
          <t>def _as_float(v):</t>
        </is>
      </c>
    </row>
    <row r="133">
      <c r="A133" s="28" t="inlineStr">
        <is>
          <t xml:space="preserve">    try:</t>
        </is>
      </c>
    </row>
    <row r="134">
      <c r="A134" s="28" t="inlineStr">
        <is>
          <t xml:space="preserve">        s = str(v).strip()</t>
        </is>
      </c>
    </row>
    <row r="135">
      <c r="A135" s="28" t="inlineStr">
        <is>
          <t xml:space="preserve">        return float(s) if s != "" else None</t>
        </is>
      </c>
    </row>
    <row r="136">
      <c r="A136" s="28" t="inlineStr">
        <is>
          <t xml:space="preserve">    except (TypeError, ValueError):</t>
        </is>
      </c>
    </row>
    <row r="137">
      <c r="A137" s="28" t="inlineStr">
        <is>
          <t xml:space="preserve">        return None</t>
        </is>
      </c>
    </row>
    <row r="138">
      <c r="A138" s="28" t="inlineStr"/>
    </row>
    <row r="139">
      <c r="A139" s="28" t="inlineStr"/>
    </row>
    <row r="140">
      <c r="A140" s="28" t="inlineStr">
        <is>
          <t>def parse_config(rows: Sequence[Sequence]) -&gt; Config:</t>
        </is>
      </c>
    </row>
    <row r="141">
      <c r="A141" s="28" t="inlineStr">
        <is>
          <t xml:space="preserve">    """Parse the `_config` sheet (list of row value-lists). Sections in col A:</t>
        </is>
      </c>
    </row>
    <row r="142">
      <c r="A142" s="28" t="inlineStr">
        <is>
          <t xml:space="preserve">    [SETTINGS], [THRESHOLDS], [SERIES]."""</t>
        </is>
      </c>
    </row>
    <row r="143">
      <c r="A143" s="28" t="inlineStr">
        <is>
          <t xml:space="preserve">    cfg = Config()</t>
        </is>
      </c>
    </row>
    <row r="144">
      <c r="A144" s="28" t="inlineStr">
        <is>
          <t xml:space="preserve">    section = None</t>
        </is>
      </c>
    </row>
    <row r="145">
      <c r="A145" s="28" t="inlineStr">
        <is>
          <t xml:space="preserve">    series_header = None</t>
        </is>
      </c>
    </row>
    <row r="146">
      <c r="A146" s="28" t="inlineStr">
        <is>
          <t xml:space="preserve">    thr_header = None</t>
        </is>
      </c>
    </row>
    <row r="147">
      <c r="A147" s="28" t="inlineStr">
        <is>
          <t xml:space="preserve">    for raw in rows:</t>
        </is>
      </c>
    </row>
    <row r="148">
      <c r="A148" s="28" t="inlineStr">
        <is>
          <t xml:space="preserve">        a = ("" if not raw or raw[0] is None else str(raw[0])).strip()</t>
        </is>
      </c>
    </row>
    <row r="149">
      <c r="A149" s="28" t="inlineStr">
        <is>
          <t xml:space="preserve">        if a.startswith("[") and a.endswith("]"):</t>
        </is>
      </c>
    </row>
    <row r="150">
      <c r="A150" s="28" t="inlineStr">
        <is>
          <t xml:space="preserve">            section = a.strip("[]").strip().upper()</t>
        </is>
      </c>
    </row>
    <row r="151">
      <c r="A151" s="28" t="inlineStr">
        <is>
          <t xml:space="preserve">            series_header = None</t>
        </is>
      </c>
    </row>
    <row r="152">
      <c r="A152" s="28" t="inlineStr">
        <is>
          <t xml:space="preserve">            thr_header = None</t>
        </is>
      </c>
    </row>
    <row r="153">
      <c r="A153" s="28" t="inlineStr">
        <is>
          <t xml:space="preserve">            continue</t>
        </is>
      </c>
    </row>
    <row r="154">
      <c r="A154" s="28" t="inlineStr">
        <is>
          <t xml:space="preserve">        if not a:</t>
        </is>
      </c>
    </row>
    <row r="155">
      <c r="A155" s="28" t="inlineStr">
        <is>
          <t xml:space="preserve">            continue</t>
        </is>
      </c>
    </row>
    <row r="156">
      <c r="A156" s="28" t="inlineStr">
        <is>
          <t xml:space="preserve">        if a.startswith("#"):          # in-sheet comment line, never data</t>
        </is>
      </c>
    </row>
    <row r="157">
      <c r="A157" s="28" t="inlineStr">
        <is>
          <t xml:space="preserve">            continue</t>
        </is>
      </c>
    </row>
    <row r="158">
      <c r="A158" s="28" t="inlineStr">
        <is>
          <t xml:space="preserve">        if section == "SETTINGS":</t>
        </is>
      </c>
    </row>
    <row r="159">
      <c r="A159" s="28" t="inlineStr">
        <is>
          <t xml:space="preserve">            if a.lower() in ("key", "name"):</t>
        </is>
      </c>
    </row>
    <row r="160">
      <c r="A160" s="28" t="inlineStr">
        <is>
          <t xml:space="preserve">                continue</t>
        </is>
      </c>
    </row>
    <row r="161">
      <c r="A161" s="28" t="inlineStr">
        <is>
          <t xml:space="preserve">            val = "" if len(raw) &lt; 2 or raw[1] is None else raw[1]</t>
        </is>
      </c>
    </row>
    <row r="162">
      <c r="A162" s="28" t="inlineStr">
        <is>
          <t xml:space="preserve">            cfg.settings[a] = str(val).strip()</t>
        </is>
      </c>
    </row>
    <row r="163">
      <c r="A163" s="28" t="inlineStr">
        <is>
          <t xml:space="preserve">        elif section == "THRESHOLDS":</t>
        </is>
      </c>
    </row>
    <row r="164">
      <c r="A164" s="28" t="inlineStr">
        <is>
          <t xml:space="preserve">            if thr_header is None and a.lower() == "id":</t>
        </is>
      </c>
    </row>
    <row r="165">
      <c r="A165" s="28" t="inlineStr">
        <is>
          <t xml:space="preserve">                thr_header = [str(c).strip().lower() for c in raw]</t>
        </is>
      </c>
    </row>
    <row r="166">
      <c r="A166" s="28" t="inlineStr">
        <is>
          <t xml:space="preserve">                continue</t>
        </is>
      </c>
    </row>
    <row r="167">
      <c r="A167" s="28" t="inlineStr">
        <is>
          <t xml:space="preserve">            cells = {h: ("" if i &gt;= len(raw) or raw[i] is None else raw[i])</t>
        </is>
      </c>
    </row>
    <row r="168">
      <c r="A168" s="28" t="inlineStr">
        <is>
          <t xml:space="preserve">                     for i, h in enumerate(thr_header or ["id", "watch", "alert", "direction"])}</t>
        </is>
      </c>
    </row>
    <row r="169">
      <c r="A169" s="28" t="inlineStr">
        <is>
          <t xml:space="preserve">            cfg.thresholds[a] = Threshold(</t>
        </is>
      </c>
    </row>
    <row r="170">
      <c r="A170" s="28" t="inlineStr">
        <is>
          <t xml:space="preserve">                watch=_as_float(cells.get("watch")),</t>
        </is>
      </c>
    </row>
    <row r="171">
      <c r="A171" s="28" t="inlineStr">
        <is>
          <t xml:space="preserve">                alert=_as_float(cells.get("alert")),</t>
        </is>
      </c>
    </row>
    <row r="172">
      <c r="A172" s="28" t="inlineStr">
        <is>
          <t xml:space="preserve">                direction=str(cells.get("direction", "above")).strip().lower() or "above")</t>
        </is>
      </c>
    </row>
    <row r="173">
      <c r="A173" s="28" t="inlineStr">
        <is>
          <t xml:space="preserve">        elif section == "SERIES":</t>
        </is>
      </c>
    </row>
    <row r="174">
      <c r="A174" s="28" t="inlineStr">
        <is>
          <t xml:space="preserve">            if series_header is None:</t>
        </is>
      </c>
    </row>
    <row r="175">
      <c r="A175" s="28" t="inlineStr">
        <is>
          <t xml:space="preserve">                series_header = [str(c).strip() for c in raw]</t>
        </is>
      </c>
    </row>
    <row r="176">
      <c r="A176" s="28" t="inlineStr">
        <is>
          <t xml:space="preserve">                continue</t>
        </is>
      </c>
    </row>
    <row r="177">
      <c r="A177" s="28" t="inlineStr">
        <is>
          <t xml:space="preserve">            v = {h: ("" if i &gt;= len(raw) or raw[i] is None else raw[i])</t>
        </is>
      </c>
    </row>
    <row r="178">
      <c r="A178" s="28" t="inlineStr">
        <is>
          <t xml:space="preserve">                 for i, h in enumerate(series_header)}</t>
        </is>
      </c>
    </row>
    <row r="179">
      <c r="A179" s="28" t="inlineStr">
        <is>
          <t xml:space="preserve">            cfg.series.append(SeriesSpec(</t>
        </is>
      </c>
    </row>
    <row r="180">
      <c r="A180" s="28" t="inlineStr">
        <is>
          <t xml:space="preserve">                id=str(v.get("id", "")).strip(),</t>
        </is>
      </c>
    </row>
    <row r="181">
      <c r="A181" s="28" t="inlineStr">
        <is>
          <t xml:space="preserve">                title=str(v.get("title", "")).strip(),</t>
        </is>
      </c>
    </row>
    <row r="182">
      <c r="A182" s="28" t="inlineStr">
        <is>
          <t xml:space="preserve">                category=str(v.get("category", "")).strip(),</t>
        </is>
      </c>
    </row>
    <row r="183">
      <c r="A183" s="28" t="inlineStr">
        <is>
          <t xml:space="preserve">                lane=str(v.get("lane", "")).strip().lower(),</t>
        </is>
      </c>
    </row>
    <row r="184">
      <c r="A184" s="28" t="inlineStr">
        <is>
          <t xml:space="preserve">                metric_type=str(v.get("metric_type", "")).strip(),</t>
        </is>
      </c>
    </row>
    <row r="185">
      <c r="A185" s="28" t="inlineStr">
        <is>
          <t xml:space="preserve">                frequency=str(v.get("frequency", "")).strip(),</t>
        </is>
      </c>
    </row>
    <row r="186">
      <c r="A186" s="28" t="inlineStr">
        <is>
          <t xml:space="preserve">                sa_nsa=str(v.get("sa_nsa", "")).strip(),</t>
        </is>
      </c>
    </row>
    <row r="187">
      <c r="A187" s="28" t="inlineStr">
        <is>
          <t xml:space="preserve">                units=str(v.get("units", "")).strip(),</t>
        </is>
      </c>
    </row>
    <row r="188">
      <c r="A188" s="28" t="inlineStr">
        <is>
          <t xml:space="preserve">                level_rate_index=str(v.get("level_rate_index", "")).strip().lower(),</t>
        </is>
      </c>
    </row>
    <row r="189">
      <c r="A189" s="28" t="inlineStr">
        <is>
          <t xml:space="preserve">                geo_segment=str(v.get("geo_segment", "")).strip().lower(),</t>
        </is>
      </c>
    </row>
    <row r="190">
      <c r="A190" s="28" t="inlineStr">
        <is>
          <t xml:space="preserve">                source_class=str(v.get("source_class", "")).strip().upper(),</t>
        </is>
      </c>
    </row>
    <row r="191">
      <c r="A191" s="28" t="inlineStr">
        <is>
          <t xml:space="preserve">                dashboard_capable=_as_bool(v.get("dashboard_capable", "")),</t>
        </is>
      </c>
    </row>
    <row r="192">
      <c r="A192" s="28" t="inlineStr">
        <is>
          <t xml:space="preserve">                watchlist_capable=_as_bool(v.get("watchlist_capable", "")),</t>
        </is>
      </c>
    </row>
    <row r="193">
      <c r="A193" s="28" t="inlineStr">
        <is>
          <t xml:space="preserve">                source_url=str(v.get("source_url", "")).strip(),</t>
        </is>
      </c>
    </row>
    <row r="194">
      <c r="A194" s="28" t="inlineStr">
        <is>
          <t xml:space="preserve">                table_id=str(v.get("table_id", "")).strip(),</t>
        </is>
      </c>
    </row>
    <row r="195">
      <c r="A195" s="28" t="inlineStr">
        <is>
          <t xml:space="preserve">                sheet=str(v.get("sheet", "")).strip(),</t>
        </is>
      </c>
    </row>
    <row r="196">
      <c r="A196" s="28" t="inlineStr">
        <is>
          <t xml:space="preserve">                series_label=str(v.get("series_label", "")).strip(),</t>
        </is>
      </c>
    </row>
    <row r="197">
      <c r="A197" s="28" t="inlineStr">
        <is>
          <t xml:space="preserve">                transform=str(v.get("transform", "level")).strip().lower(),</t>
        </is>
      </c>
    </row>
    <row r="198">
      <c r="A198" s="28" t="inlineStr">
        <is>
          <t xml:space="preserve">                notes=str(v.get("notes", "")).strip()))</t>
        </is>
      </c>
    </row>
    <row r="199">
      <c r="A199" s="28" t="inlineStr">
        <is>
          <t xml:space="preserve">    return cfg</t>
        </is>
      </c>
    </row>
    <row r="200">
      <c r="A200" s="28" t="inlineStr"/>
    </row>
    <row r="201">
      <c r="A201" s="28" t="inlineStr"/>
    </row>
    <row r="202">
      <c r="A202" s="28" t="inlineStr">
        <is>
          <t># ---------------------------------------------------------------------------</t>
        </is>
      </c>
    </row>
    <row r="203">
      <c r="A203" s="28" t="inlineStr">
        <is>
          <t># THE WATCHLIST VALIDATOR -- DEFAULT-DENY WHITELIST (BUILD SPEC 0.1 / sec 3)</t>
        </is>
      </c>
    </row>
    <row r="204">
      <c r="A204" s="28" t="inlineStr">
        <is>
          <t># ---------------------------------------------------------------------------</t>
        </is>
      </c>
    </row>
    <row r="205">
      <c r="A205" s="28" t="inlineStr">
        <is>
          <t>class WatchlistRefused(Exception):</t>
        </is>
      </c>
    </row>
    <row r="206">
      <c r="A206" s="28" t="inlineStr">
        <is>
          <t xml:space="preserve">    """Raised by the gate; carries the series-named refusal message."""</t>
        </is>
      </c>
    </row>
    <row r="207">
      <c r="A207" s="28" t="inlineStr"/>
    </row>
    <row r="208">
      <c r="A208" s="28" t="inlineStr"/>
    </row>
    <row r="209">
      <c r="A209" s="28" t="inlineStr">
        <is>
          <t>def watchlist_refusal_message(spec: SeriesSpec, reasons: List[str]) -&gt; str:</t>
        </is>
      </c>
    </row>
    <row r="210">
      <c r="A210" s="28" t="inlineStr">
        <is>
          <t xml:space="preserve">    return (</t>
        </is>
      </c>
    </row>
    <row r="211">
      <c r="A211" s="28" t="inlineStr">
        <is>
          <t xml:space="preserve">        f'WATCHLIST REFUSED: series "{spec.id}" has geo_segment="{spec.geo_segment}", '</t>
        </is>
      </c>
    </row>
    <row r="212">
      <c r="A212" s="28" t="inlineStr">
        <is>
          <t xml:space="preserve">        f'watchlist_capable={"TRUE" if spec.watchlist_capable else "FALSE"}, '</t>
        </is>
      </c>
    </row>
    <row r="213">
      <c r="A213" s="28" t="inlineStr">
        <is>
          <t xml:space="preserve">        f'source_class="{spec.source_class}". ' + " ".join(reasons) +</t>
        </is>
      </c>
    </row>
    <row r="214">
      <c r="A214" s="28" t="inlineStr">
        <is>
          <t xml:space="preserve">        " The watchlist lane requires a licensed (Class C) MSA feed (TransUnion "</t>
        </is>
      </c>
    </row>
    <row r="215">
      <c r="A215" s="28" t="inlineStr">
        <is>
          <t xml:space="preserve">        "Prama Benchmarking) or an account-level feed (Experian Risk &amp; Retention "</t>
        </is>
      </c>
    </row>
    <row r="216">
      <c r="A216" s="28" t="inlineStr">
        <is>
          <t xml:space="preserve">        "Triggers / TransUnion TruVision). No public/national/annual-aggregate "</t>
        </is>
      </c>
    </row>
    <row r="217">
      <c r="A217" s="28" t="inlineStr">
        <is>
          <t xml:space="preserve">        "series may feed this lane.")</t>
        </is>
      </c>
    </row>
    <row r="218">
      <c r="A218" s="28" t="inlineStr"/>
    </row>
    <row r="219">
      <c r="A219" s="28" t="inlineStr"/>
    </row>
    <row r="220">
      <c r="A220" s="28" t="inlineStr">
        <is>
          <t>def gate_watchlist_row(spec: SeriesSpec) -&gt; List[str]:</t>
        </is>
      </c>
    </row>
    <row r="221">
      <c r="A221" s="28" t="inlineStr">
        <is>
          <t xml:space="preserve">    """Return the list of failed-gate reasons for a lane='watchlist' row.</t>
        </is>
      </c>
    </row>
    <row r="222">
      <c r="A222" s="28" t="inlineStr">
        <is>
          <t xml:space="preserve">    Empty list == passes all gates (a true licensed MSA/account join key)."""</t>
        </is>
      </c>
    </row>
    <row r="223">
      <c r="A223" s="28" t="inlineStr">
        <is>
          <t xml:space="preserve">    reasons = []</t>
        </is>
      </c>
    </row>
    <row r="224">
      <c r="A224" s="28" t="inlineStr">
        <is>
          <t xml:space="preserve">    if not spec.watchlist_capable:</t>
        </is>
      </c>
    </row>
    <row r="225">
      <c r="A225" s="28" t="inlineStr">
        <is>
          <t xml:space="preserve">        reasons.append("Gate1: watchlist_capable is not TRUE.")</t>
        </is>
      </c>
    </row>
    <row r="226">
      <c r="A226" s="28" t="inlineStr">
        <is>
          <t xml:space="preserve">    if spec.source_class != "C":</t>
        </is>
      </c>
    </row>
    <row r="227">
      <c r="A227" s="28" t="inlineStr">
        <is>
          <t xml:space="preserve">        reasons.append("Gate2: source_class is not C (licensed) -- public/free "</t>
        </is>
      </c>
    </row>
    <row r="228">
      <c r="A228" s="28" t="inlineStr">
        <is>
          <t xml:space="preserve">                       "sources can never feed the watchlist.")</t>
        </is>
      </c>
    </row>
    <row r="229">
      <c r="A229" s="28" t="inlineStr">
        <is>
          <t xml:space="preserve">    if spec.geo_segment not in WATCHLIST_GEO_WHITELIST:</t>
        </is>
      </c>
    </row>
    <row r="230">
      <c r="A230" s="28" t="inlineStr">
        <is>
          <t xml:space="preserve">        reasons.append(f"Gate3: geo_segment '{spec.geo_segment}' is not in the "</t>
        </is>
      </c>
    </row>
    <row r="231">
      <c r="A231" s="28" t="inlineStr">
        <is>
          <t xml:space="preserve">                       f"allowed join-key whitelist {sorted(WATCHLIST_GEO_WHITELIST)}.")</t>
        </is>
      </c>
    </row>
    <row r="232">
      <c r="A232" s="28" t="inlineStr">
        <is>
          <t xml:space="preserve">    return reasons</t>
        </is>
      </c>
    </row>
    <row r="233">
      <c r="A233" s="28" t="inlineStr"/>
    </row>
    <row r="234">
      <c r="A234" s="28" t="inlineStr"/>
    </row>
    <row r="235">
      <c r="A235" s="28" t="inlineStr">
        <is>
          <t>def evaluate_watchlist(series: Sequence[SeriesSpec]):</t>
        </is>
      </c>
    </row>
    <row r="236">
      <c r="A236" s="28" t="inlineStr">
        <is>
          <t xml:space="preserve">    """Apply the default-deny whitelist to every lane='watchlist' row.</t>
        </is>
      </c>
    </row>
    <row r="237">
      <c r="A237" s="28" t="inlineStr">
        <is>
          <t xml:space="preserve">    Returns (admitted, refusals) -- admitted rows pass ALL gates; refusals is a</t>
        </is>
      </c>
    </row>
    <row r="238">
      <c r="A238" s="28" t="inlineStr">
        <is>
          <t xml:space="preserve">    list of (spec, message). Under the v1 public stand-in, admitted is empty."""</t>
        </is>
      </c>
    </row>
    <row r="239">
      <c r="A239" s="28" t="inlineStr">
        <is>
          <t xml:space="preserve">    admitted, refusals = [], []</t>
        </is>
      </c>
    </row>
    <row r="240">
      <c r="A240" s="28" t="inlineStr">
        <is>
          <t xml:space="preserve">    for s in series:</t>
        </is>
      </c>
    </row>
    <row r="241">
      <c r="A241" s="28" t="inlineStr">
        <is>
          <t xml:space="preserve">        if s.lane != "watchlist":</t>
        </is>
      </c>
    </row>
    <row r="242">
      <c r="A242" s="28" t="inlineStr">
        <is>
          <t xml:space="preserve">            continue</t>
        </is>
      </c>
    </row>
    <row r="243">
      <c r="A243" s="28" t="inlineStr">
        <is>
          <t xml:space="preserve">        reasons = gate_watchlist_row(s)</t>
        </is>
      </c>
    </row>
    <row r="244">
      <c r="A244" s="28" t="inlineStr">
        <is>
          <t xml:space="preserve">        if reasons:</t>
        </is>
      </c>
    </row>
    <row r="245">
      <c r="A245" s="28" t="inlineStr">
        <is>
          <t xml:space="preserve">            refusals.append((s, watchlist_refusal_message(s, reasons)))</t>
        </is>
      </c>
    </row>
    <row r="246">
      <c r="A246" s="28" t="inlineStr">
        <is>
          <t xml:space="preserve">        else:</t>
        </is>
      </c>
    </row>
    <row r="247">
      <c r="A247" s="28" t="inlineStr">
        <is>
          <t xml:space="preserve">            admitted.append(s)</t>
        </is>
      </c>
    </row>
    <row r="248">
      <c r="A248" s="28" t="inlineStr">
        <is>
          <t xml:space="preserve">    return admitted, refusals</t>
        </is>
      </c>
    </row>
    <row r="249">
      <c r="A249" s="28" t="inlineStr"/>
    </row>
    <row r="250">
      <c r="A250" s="28" t="inlineStr"/>
    </row>
    <row r="251">
      <c r="A251" s="28" t="inlineStr">
        <is>
          <t>def assert_no_public_in_watchlist(series: Sequence[SeriesSpec]) -&gt; None:</t>
        </is>
      </c>
    </row>
    <row r="252">
      <c r="A252" s="28" t="inlineStr">
        <is>
          <t xml:space="preserve">    """Build-time hard gate: a Class A row that is watchlist_capable must never</t>
        </is>
      </c>
    </row>
    <row r="253">
      <c r="A253" s="28" t="inlineStr">
        <is>
          <t xml:space="preserve">    exist -- refuse the build, naming the series (BUILD SPEC 0.1)."""</t>
        </is>
      </c>
    </row>
    <row r="254">
      <c r="A254" s="28" t="inlineStr">
        <is>
          <t xml:space="preserve">    for s in series:</t>
        </is>
      </c>
    </row>
    <row r="255">
      <c r="A255" s="28" t="inlineStr">
        <is>
          <t xml:space="preserve">        if s.watchlist_capable and s.source_class != "C":</t>
        </is>
      </c>
    </row>
    <row r="256">
      <c r="A256" s="28" t="inlineStr">
        <is>
          <t xml:space="preserve">            raise WatchlistRefused(watchlist_refusal_message(</t>
        </is>
      </c>
    </row>
    <row r="257">
      <c r="A257" s="28" t="inlineStr">
        <is>
          <t xml:space="preserve">                s, ["Gate2: a non-Class-C (public) series is flagged "</t>
        </is>
      </c>
    </row>
    <row r="258">
      <c r="A258" s="28" t="inlineStr">
        <is>
          <t xml:space="preserve">                    "watchlist_capable, which is forbidden."]))</t>
        </is>
      </c>
    </row>
    <row r="259">
      <c r="A259" s="28" t="inlineStr"/>
    </row>
    <row r="260">
      <c r="A260" s="28" t="inlineStr"/>
    </row>
    <row r="261">
      <c r="A261" s="28" t="inlineStr">
        <is>
          <t># ---------------------------------------------------------------------------</t>
        </is>
      </c>
    </row>
    <row r="262">
      <c r="A262" s="28" t="inlineStr">
        <is>
          <t># TRANSFORM REGISTRY (pure, deterministic -- BUILD SPEC sec 3)</t>
        </is>
      </c>
    </row>
    <row r="263">
      <c r="A263" s="28" t="inlineStr">
        <is>
          <t># ---------------------------------------------------------------------------</t>
        </is>
      </c>
    </row>
    <row r="264">
      <c r="A264" s="28" t="inlineStr">
        <is>
          <t>def t_level(s: pd.Series, frequency: str) -&gt; pd.Series:</t>
        </is>
      </c>
    </row>
    <row r="265">
      <c r="A265" s="28" t="inlineStr">
        <is>
          <t xml:space="preserve">    return s.astype("float64")</t>
        </is>
      </c>
    </row>
    <row r="266">
      <c r="A266" s="28" t="inlineStr"/>
    </row>
    <row r="267">
      <c r="A267" s="28" t="inlineStr"/>
    </row>
    <row r="268">
      <c r="A268" s="28" t="inlineStr">
        <is>
          <t>def _pct_change_shift(s: pd.Series, periods: int) -&gt; pd.Series:</t>
        </is>
      </c>
    </row>
    <row r="269">
      <c r="A269" s="28" t="inlineStr">
        <is>
          <t xml:space="preserve">    """Shift-based percent change: NaN-propagating and identical across pandas</t>
        </is>
      </c>
    </row>
    <row r="270">
      <c r="A270" s="28" t="inlineStr">
        <is>
          <t xml:space="preserve">    versions (pct_change's fill_method default changed between 1.x/2.x/3.x)."""</t>
        </is>
      </c>
    </row>
    <row r="271">
      <c r="A271" s="28" t="inlineStr">
        <is>
          <t xml:space="preserve">    x = s.astype("float64")</t>
        </is>
      </c>
    </row>
    <row r="272">
      <c r="A272" s="28" t="inlineStr">
        <is>
          <t xml:space="preserve">    return (x / x.shift(periods) - 1.0) * 100.0</t>
        </is>
      </c>
    </row>
    <row r="273">
      <c r="A273" s="28" t="inlineStr"/>
    </row>
    <row r="274">
      <c r="A274" s="28" t="inlineStr"/>
    </row>
    <row r="275">
      <c r="A275" s="28" t="inlineStr">
        <is>
          <t>def t_yoy_pct(s: pd.Series, frequency: str) -&gt; pd.Series:</t>
        </is>
      </c>
    </row>
    <row r="276">
      <c r="A276" s="28" t="inlineStr">
        <is>
          <t xml:space="preserve">    return _pct_change_shift(s, periods_per_year(frequency))</t>
        </is>
      </c>
    </row>
    <row r="277">
      <c r="A277" s="28" t="inlineStr"/>
    </row>
    <row r="278">
      <c r="A278" s="28" t="inlineStr"/>
    </row>
    <row r="279">
      <c r="A279" s="28" t="inlineStr">
        <is>
          <t>def t_qoq_pct(s: pd.Series, frequency: str) -&gt; pd.Series:</t>
        </is>
      </c>
    </row>
    <row r="280">
      <c r="A280" s="28" t="inlineStr">
        <is>
          <t xml:space="preserve">    return _pct_change_shift(s, 1)</t>
        </is>
      </c>
    </row>
    <row r="281">
      <c r="A281" s="28" t="inlineStr"/>
    </row>
    <row r="282">
      <c r="A282" s="28" t="inlineStr"/>
    </row>
    <row r="283">
      <c r="A283" s="28" t="inlineStr">
        <is>
          <t>def t_mom_pct(s: pd.Series, frequency: str) -&gt; pd.Series:</t>
        </is>
      </c>
    </row>
    <row r="284">
      <c r="A284" s="28" t="inlineStr">
        <is>
          <t xml:space="preserve">    return _pct_change_shift(s, 1)</t>
        </is>
      </c>
    </row>
    <row r="285">
      <c r="A285" s="28" t="inlineStr"/>
    </row>
    <row r="286">
      <c r="A286" s="28" t="inlineStr"/>
    </row>
    <row r="287">
      <c r="A287" s="28" t="inlineStr">
        <is>
          <t>def t_zscore_8q(s: pd.Series, frequency: str) -&gt; pd.Series:</t>
        </is>
      </c>
    </row>
    <row r="288">
      <c r="A288" s="28" t="inlineStr">
        <is>
          <t xml:space="preserve">    x = s.astype("float64")</t>
        </is>
      </c>
    </row>
    <row r="289">
      <c r="A289" s="28" t="inlineStr">
        <is>
          <t xml:space="preserve">    mean = x.rolling(window=8, min_periods=8).mean()</t>
        </is>
      </c>
    </row>
    <row r="290">
      <c r="A290" s="28" t="inlineStr">
        <is>
          <t xml:space="preserve">    std = x.rolling(window=8, min_periods=8).std(ddof=1)</t>
        </is>
      </c>
    </row>
    <row r="291">
      <c r="A291" s="28" t="inlineStr">
        <is>
          <t xml:space="preserve">    return (x - mean) / std.replace(0.0, math.nan)</t>
        </is>
      </c>
    </row>
    <row r="292">
      <c r="A292" s="28" t="inlineStr"/>
    </row>
    <row r="293">
      <c r="A293" s="28" t="inlineStr"/>
    </row>
    <row r="294">
      <c r="A294" s="28" t="inlineStr">
        <is>
          <t>def t_index_to_pct(s: pd.Series, frequency: str) -&gt; pd.Series:</t>
        </is>
      </c>
    </row>
    <row r="295">
      <c r="A295" s="28" t="inlineStr">
        <is>
          <t xml:space="preserve">    """Percent relative to the series' base = its first valid observation</t>
        </is>
      </c>
    </row>
    <row r="296">
      <c r="A296" s="28" t="inlineStr">
        <is>
          <t xml:space="preserve">    (BUILD SPEC sec 3: 'convert an indexed series to percent terms relative to</t>
        </is>
      </c>
    </row>
    <row r="297">
      <c r="A297" s="28" t="inlineStr">
        <is>
          <t xml:space="preserve">    its base'). NOT a YoY alias."""</t>
        </is>
      </c>
    </row>
    <row r="298">
      <c r="A298" s="28" t="inlineStr">
        <is>
          <t xml:space="preserve">    x = s.astype("float64")</t>
        </is>
      </c>
    </row>
    <row r="299">
      <c r="A299" s="28" t="inlineStr">
        <is>
          <t xml:space="preserve">    valid = x.dropna()</t>
        </is>
      </c>
    </row>
    <row r="300">
      <c r="A300" s="28" t="inlineStr">
        <is>
          <t xml:space="preserve">    if valid.empty or valid.iloc[0] == 0.0:</t>
        </is>
      </c>
    </row>
    <row r="301">
      <c r="A301" s="28" t="inlineStr">
        <is>
          <t xml:space="preserve">        return x * math.nan</t>
        </is>
      </c>
    </row>
    <row r="302">
      <c r="A302" s="28" t="inlineStr">
        <is>
          <t xml:space="preserve">    return (x / valid.iloc[0] - 1.0) * 100.0</t>
        </is>
      </c>
    </row>
    <row r="303">
      <c r="A303" s="28" t="inlineStr"/>
    </row>
    <row r="304">
      <c r="A304" s="28" t="inlineStr"/>
    </row>
    <row r="305">
      <c r="A305" s="28" t="inlineStr">
        <is>
          <t>TRANSFORMS = {</t>
        </is>
      </c>
    </row>
    <row r="306">
      <c r="A306" s="28" t="inlineStr">
        <is>
          <t xml:space="preserve">    "level": t_level, "yoy_pct": t_yoy_pct, "qoq_pct": t_qoq_pct,</t>
        </is>
      </c>
    </row>
    <row r="307">
      <c r="A307" s="28" t="inlineStr">
        <is>
          <t xml:space="preserve">    "mom_pct": t_mom_pct, "zscore_8q": t_zscore_8q, "index_to_pct": t_index_to_pct,</t>
        </is>
      </c>
    </row>
    <row r="308">
      <c r="A308" s="28" t="inlineStr">
        <is>
          <t>}</t>
        </is>
      </c>
    </row>
    <row r="309">
      <c r="A309" s="28" t="inlineStr"/>
    </row>
    <row r="310">
      <c r="A310" s="28" t="inlineStr"/>
    </row>
    <row r="311">
      <c r="A311" s="28" t="inlineStr">
        <is>
          <t>class TransformError(Exception):</t>
        </is>
      </c>
    </row>
    <row r="312">
      <c r="A312" s="28" t="inlineStr">
        <is>
          <t xml:space="preserve">    pass</t>
        </is>
      </c>
    </row>
    <row r="313">
      <c r="A313" s="28" t="inlineStr"/>
    </row>
    <row r="314">
      <c r="A314" s="28" t="inlineStr"/>
    </row>
    <row r="315">
      <c r="A315" s="28" t="inlineStr">
        <is>
          <t>def validate_transforms(series: Sequence[SeriesSpec]) -&gt; None:</t>
        </is>
      </c>
    </row>
    <row r="316">
      <c r="A316" s="28" t="inlineStr">
        <is>
          <t xml:space="preserve">    for s in series:</t>
        </is>
      </c>
    </row>
    <row r="317">
      <c r="A317" s="28" t="inlineStr">
        <is>
          <t xml:space="preserve">        if s.transform not in TRANSFORMS:</t>
        </is>
      </c>
    </row>
    <row r="318">
      <c r="A318" s="28" t="inlineStr">
        <is>
          <t xml:space="preserve">            raise TransformError(f"Series '{s.id}' references unknown transform "</t>
        </is>
      </c>
    </row>
    <row r="319">
      <c r="A319" s="28" t="inlineStr">
        <is>
          <t xml:space="preserve">                                 f"'{s.transform}'.")</t>
        </is>
      </c>
    </row>
    <row r="320">
      <c r="A320" s="28" t="inlineStr"/>
    </row>
    <row r="321">
      <c r="A321" s="28" t="inlineStr"/>
    </row>
    <row r="322">
      <c r="A322" s="28" t="inlineStr">
        <is>
          <t>def apply_transform(spec: SeriesSpec, s: pd.Series) -&gt; pd.Series:</t>
        </is>
      </c>
    </row>
    <row r="323">
      <c r="A323" s="28" t="inlineStr">
        <is>
          <t xml:space="preserve">    return TRANSFORMS[spec.transform](s, spec.frequency)</t>
        </is>
      </c>
    </row>
    <row r="324">
      <c r="A324" s="28" t="inlineStr"/>
    </row>
    <row r="325">
      <c r="A325" s="28" t="inlineStr"/>
    </row>
    <row r="326">
      <c r="A326" s="28" t="inlineStr">
        <is>
          <t>def latest_valid(s: pd.Series):</t>
        </is>
      </c>
    </row>
    <row r="327">
      <c r="A327" s="28" t="inlineStr">
        <is>
          <t xml:space="preserve">    s = s.dropna()</t>
        </is>
      </c>
    </row>
    <row r="328">
      <c r="A328" s="28" t="inlineStr">
        <is>
          <t xml:space="preserve">    return None if s.empty else float(s.iloc[-1])</t>
        </is>
      </c>
    </row>
    <row r="329">
      <c r="A329" s="28" t="inlineStr"/>
    </row>
    <row r="330">
      <c r="A330" s="28" t="inlineStr"/>
    </row>
    <row r="331">
      <c r="A331" s="28" t="inlineStr">
        <is>
          <t># ---------------------------------------------------------------------------</t>
        </is>
      </c>
    </row>
    <row r="332">
      <c r="A332" s="28" t="inlineStr">
        <is>
          <t># THRESHOLD ENGINE -- config-driven OK/WATCH/ALERT (BUILD SPEC sec 3)</t>
        </is>
      </c>
    </row>
    <row r="333">
      <c r="A333" s="28" t="inlineStr">
        <is>
          <t># ---------------------------------------------------------------------------</t>
        </is>
      </c>
    </row>
    <row r="334">
      <c r="A334" s="28" t="inlineStr">
        <is>
          <t>def status_for(spec: SeriesSpec, value: Optional[float], thr: Optional[Threshold]) -&gt; str:</t>
        </is>
      </c>
    </row>
    <row r="335">
      <c r="A335" s="28" t="inlineStr">
        <is>
          <t xml:space="preserve">    if value is None or thr is None or (isinstance(value, float) and math.isnan(value)):</t>
        </is>
      </c>
    </row>
    <row r="336">
      <c r="A336" s="28" t="inlineStr">
        <is>
          <t xml:space="preserve">        return "OK"</t>
        </is>
      </c>
    </row>
    <row r="337">
      <c r="A337" s="28" t="inlineStr">
        <is>
          <t xml:space="preserve">    above = thr.direction != "below"</t>
        </is>
      </c>
    </row>
    <row r="338">
      <c r="A338" s="28" t="inlineStr">
        <is>
          <t xml:space="preserve">    def hit(bound):</t>
        </is>
      </c>
    </row>
    <row r="339">
      <c r="A339" s="28" t="inlineStr">
        <is>
          <t xml:space="preserve">        if bound is None:</t>
        </is>
      </c>
    </row>
    <row r="340">
      <c r="A340" s="28" t="inlineStr">
        <is>
          <t xml:space="preserve">            return False</t>
        </is>
      </c>
    </row>
    <row r="341">
      <c r="A341" s="28" t="inlineStr">
        <is>
          <t xml:space="preserve">        return value &gt;= bound if above else value &lt;= bound</t>
        </is>
      </c>
    </row>
    <row r="342">
      <c r="A342" s="28" t="inlineStr">
        <is>
          <t xml:space="preserve">    if hit(thr.alert):</t>
        </is>
      </c>
    </row>
    <row r="343">
      <c r="A343" s="28" t="inlineStr">
        <is>
          <t xml:space="preserve">        return "ALERT"</t>
        </is>
      </c>
    </row>
    <row r="344">
      <c r="A344" s="28" t="inlineStr">
        <is>
          <t xml:space="preserve">    if hit(thr.watch):</t>
        </is>
      </c>
    </row>
    <row r="345">
      <c r="A345" s="28" t="inlineStr">
        <is>
          <t xml:space="preserve">        return "WATCH"</t>
        </is>
      </c>
    </row>
    <row r="346">
      <c r="A346" s="28" t="inlineStr">
        <is>
          <t xml:space="preserve">    return "OK"</t>
        </is>
      </c>
    </row>
    <row r="347">
      <c r="A347" s="28" t="inlineStr"/>
    </row>
    <row r="348">
      <c r="A348" s="28" t="inlineStr"/>
    </row>
    <row r="349">
      <c r="A349" s="28" t="inlineStr">
        <is>
          <t># ---------------------------------------------------------------------------</t>
        </is>
      </c>
    </row>
    <row r="350">
      <c r="A350" s="28" t="inlineStr">
        <is>
          <t># THE ADAPTER SEAM (BUILD SPEC sec 1a) -- the only provider-specific code</t>
        </is>
      </c>
    </row>
    <row r="351">
      <c r="A351" s="28" t="inlineStr">
        <is>
          <t># ---------------------------------------------------------------------------</t>
        </is>
      </c>
    </row>
    <row r="352">
      <c r="A352" s="28" t="inlineStr">
        <is>
          <t>@dataclass</t>
        </is>
      </c>
    </row>
    <row r="353">
      <c r="A353" s="28" t="inlineStr">
        <is>
          <t>class NormalizedRow:</t>
        </is>
      </c>
    </row>
    <row r="354">
      <c r="A354" s="28" t="inlineStr">
        <is>
          <t xml:space="preserve">    id: str</t>
        </is>
      </c>
    </row>
    <row r="355">
      <c r="A355" s="28" t="inlineStr">
        <is>
          <t xml:space="preserve">    period: str            # ISO date string (period end)</t>
        </is>
      </c>
    </row>
    <row r="356">
      <c r="A356" s="28" t="inlineStr">
        <is>
          <t xml:space="preserve">    value: Optional[float]</t>
        </is>
      </c>
    </row>
    <row r="357">
      <c r="A357" s="28" t="inlineStr">
        <is>
          <t xml:space="preserve">    geo_segment: str</t>
        </is>
      </c>
    </row>
    <row r="358">
      <c r="A358" s="28" t="inlineStr">
        <is>
          <t xml:space="preserve">    source_class: str</t>
        </is>
      </c>
    </row>
    <row r="359">
      <c r="A359" s="28" t="inlineStr">
        <is>
          <t xml:space="preserve">    units: str = ""</t>
        </is>
      </c>
    </row>
    <row r="360">
      <c r="A360" s="28" t="inlineStr"/>
    </row>
    <row r="361">
      <c r="A361" s="28" t="inlineStr"/>
    </row>
    <row r="362">
      <c r="A362" s="28" t="inlineStr">
        <is>
          <t>def last_observation_period(rows: List[NormalizedRow]) -&gt; Optional[str]:</t>
        </is>
      </c>
    </row>
    <row r="363">
      <c r="A363" s="28" t="inlineStr">
        <is>
          <t xml:space="preserve">    """Newest period with a real value, derived from already-fetched data --</t>
        </is>
      </c>
    </row>
    <row r="364">
      <c r="A364" s="28" t="inlineStr">
        <is>
          <t xml:space="preserve">    no extra call (L5). Used by the digest (per-series as-of) and available to</t>
        </is>
      </c>
    </row>
    <row r="365">
      <c r="A365" s="28" t="inlineStr">
        <is>
          <t xml:space="preserve">    adapters for conditional fetch."""</t>
        </is>
      </c>
    </row>
    <row r="366">
      <c r="A366" s="28" t="inlineStr">
        <is>
          <t xml:space="preserve">    ps = [r.period for r in rows if r.value is not None]</t>
        </is>
      </c>
    </row>
    <row r="367">
      <c r="A367" s="28" t="inlineStr">
        <is>
          <t xml:space="preserve">    return max(ps) if ps else None</t>
        </is>
      </c>
    </row>
    <row r="368">
      <c r="A368" s="28" t="inlineStr"/>
    </row>
    <row r="369">
      <c r="A369" s="28" t="inlineStr"/>
    </row>
    <row r="370">
      <c r="A370" s="28" t="inlineStr">
        <is>
          <t>class Provider:</t>
        </is>
      </c>
    </row>
    <row r="371">
      <c r="A371" s="28" t="inlineStr">
        <is>
          <t xml:space="preserve">    """Adapter interface contract: fetch_series(spec, secret) -&gt; [NormalizedRow]."""</t>
        </is>
      </c>
    </row>
    <row r="372">
      <c r="A372" s="28" t="inlineStr"/>
    </row>
    <row r="373">
      <c r="A373" s="28" t="inlineStr">
        <is>
          <t xml:space="preserve">    source_class = "A"</t>
        </is>
      </c>
    </row>
    <row r="374">
      <c r="A374" s="28" t="inlineStr"/>
    </row>
    <row r="375">
      <c r="A375" s="28" t="inlineStr">
        <is>
          <t xml:space="preserve">    def fetch_series(self, spec: SeriesSpec, secret=None) -&gt; List[NormalizedRow]:  # pragma: no cover</t>
        </is>
      </c>
    </row>
    <row r="376">
      <c r="A376" s="28" t="inlineStr">
        <is>
          <t xml:space="preserve">        raise NotImplementedError</t>
        </is>
      </c>
    </row>
    <row r="377">
      <c r="A377" s="28" t="inlineStr"/>
    </row>
    <row r="378">
      <c r="A378" s="28" t="inlineStr">
        <is>
          <t xml:space="preserve">    def last_observation_period(self, rows: List[NormalizedRow]) -&gt; Optional[str]:</t>
        </is>
      </c>
    </row>
    <row r="379">
      <c r="A379" s="28" t="inlineStr">
        <is>
          <t xml:space="preserve">        return last_observation_period(rows)</t>
        </is>
      </c>
    </row>
    <row r="380">
      <c r="A380" s="28" t="inlineStr"/>
    </row>
    <row r="381">
      <c r="A381" s="28" t="inlineStr"/>
    </row>
    <row r="382">
      <c r="A382" s="28" t="inlineStr">
        <is>
          <t>class HhdcDemoProvider(Provider):</t>
        </is>
      </c>
    </row>
    <row r="383">
      <c r="A383" s="28" t="inlineStr">
        <is>
          <t xml:space="preserve">    """Deterministic offline stand-in (BUILD SPEC 0.7 / Phase 2). Seeded</t>
        </is>
      </c>
    </row>
    <row r="384">
      <c r="A384" s="28" t="inlineStr">
        <is>
          <t xml:space="preserve">    pseudo-walk per id, fixed asof, NO network, NO key -- used by ALL tests."""</t>
        </is>
      </c>
    </row>
    <row r="385">
      <c r="A385" s="28" t="inlineStr"/>
    </row>
    <row r="386">
      <c r="A386" s="28" t="inlineStr">
        <is>
          <t xml:space="preserve">    source_class = "A"</t>
        </is>
      </c>
    </row>
    <row r="387">
      <c r="A387" s="28" t="inlineStr"/>
    </row>
    <row r="388">
      <c r="A388" s="28" t="inlineStr">
        <is>
          <t xml:space="preserve">    def __init__(self, asof: Optional[date] = None, slots: int = RAW_SLOTS_DEFAULT):</t>
        </is>
      </c>
    </row>
    <row r="389">
      <c r="A389" s="28" t="inlineStr">
        <is>
          <t xml:space="preserve">        self.asof = asof or date(2026, 3, 31)</t>
        </is>
      </c>
    </row>
    <row r="390">
      <c r="A390" s="28" t="inlineStr">
        <is>
          <t xml:space="preserve">        self.slots = slots</t>
        </is>
      </c>
    </row>
    <row r="391">
      <c r="A391" s="28" t="inlineStr"/>
    </row>
    <row r="392">
      <c r="A392" s="28" t="inlineStr">
        <is>
          <t xml:space="preserve">    def _seed(self, sid: str) -&gt; int:</t>
        </is>
      </c>
    </row>
    <row r="393">
      <c r="A393" s="28" t="inlineStr">
        <is>
          <t xml:space="preserve">        return sum((i + 1) * ord(c) for i, c in enumerate(sid)) % 997</t>
        </is>
      </c>
    </row>
    <row r="394">
      <c r="A394" s="28" t="inlineStr"/>
    </row>
    <row r="395">
      <c r="A395" s="28" t="inlineStr">
        <is>
          <t xml:space="preserve">    def _base(self, spec: SeriesSpec, seed: int) -&gt; float:</t>
        </is>
      </c>
    </row>
    <row r="396">
      <c r="A396" s="28" t="inlineStr">
        <is>
          <t xml:space="preserve">        mt = spec.metric_type</t>
        </is>
      </c>
    </row>
    <row r="397">
      <c r="A397" s="28" t="inlineStr">
        <is>
          <t xml:space="preserve">        if mt == "delinq_rate":</t>
        </is>
      </c>
    </row>
    <row r="398">
      <c r="A398" s="28" t="inlineStr">
        <is>
          <t xml:space="preserve">            return 1.5 + (seed % 30) / 10.0          # ~1.5-4.5 %</t>
        </is>
      </c>
    </row>
    <row r="399">
      <c r="A399" s="28" t="inlineStr">
        <is>
          <t xml:space="preserve">        if mt == "delinq_flow":</t>
        </is>
      </c>
    </row>
    <row r="400">
      <c r="A400" s="28" t="inlineStr">
        <is>
          <t xml:space="preserve">            return 1.0 + (seed % 20) / 10.0          # ~1-3 %</t>
        </is>
      </c>
    </row>
    <row r="401">
      <c r="A401" s="28" t="inlineStr">
        <is>
          <t xml:space="preserve">        if mt == "origination":</t>
        </is>
      </c>
    </row>
    <row r="402">
      <c r="A402" s="28" t="inlineStr">
        <is>
          <t xml:space="preserve">            return 5.0 + (seed % 200) / 10.0         # millions / $bn</t>
        </is>
      </c>
    </row>
    <row r="403">
      <c r="A403" s="28" t="inlineStr">
        <is>
          <t xml:space="preserve">        if "tn" in spec.units:</t>
        </is>
      </c>
    </row>
    <row r="404">
      <c r="A404" s="28" t="inlineStr">
        <is>
          <t xml:space="preserve">            return 1.0 + (seed % 120) / 10.0         # $ trillions</t>
        </is>
      </c>
    </row>
    <row r="405">
      <c r="A405" s="28" t="inlineStr">
        <is>
          <t xml:space="preserve">        return 100.0 + (seed % 800)                  # $ billions</t>
        </is>
      </c>
    </row>
    <row r="406">
      <c r="A406" s="28" t="inlineStr"/>
    </row>
    <row r="407">
      <c r="A407" s="28" t="inlineStr">
        <is>
          <t xml:space="preserve">    def fetch_series(self, spec: SeriesSpec, secret=None) -&gt; List[NormalizedRow]:</t>
        </is>
      </c>
    </row>
    <row r="408">
      <c r="A408" s="28" t="inlineStr">
        <is>
          <t xml:space="preserve">        seed = self._seed(spec.id)</t>
        </is>
      </c>
    </row>
    <row r="409">
      <c r="A409" s="28" t="inlineStr">
        <is>
          <t xml:space="preserve">        freq = _freq(spec.frequency)</t>
        </is>
      </c>
    </row>
    <row r="410">
      <c r="A410" s="28" t="inlineStr">
        <is>
          <t xml:space="preserve">        n = self.slots</t>
        </is>
      </c>
    </row>
    <row r="411">
      <c r="A411" s="28" t="inlineStr">
        <is>
          <t xml:space="preserve">        pcode = {"quarterly": "Q", "annual": "Y", "monthly": "M"}[freq]</t>
        </is>
      </c>
    </row>
    <row r="412">
      <c r="A412" s="28" t="inlineStr">
        <is>
          <t xml:space="preserve">        idx = pd.period_range(end=pd.Period(self.asof, freq=pcode[0]), periods=n, freq=pcode[0])</t>
        </is>
      </c>
    </row>
    <row r="413">
      <c r="A413" s="28" t="inlineStr">
        <is>
          <t xml:space="preserve">        idx = idx.to_timestamp(how="end").normalize()</t>
        </is>
      </c>
    </row>
    <row r="414">
      <c r="A414" s="28" t="inlineStr">
        <is>
          <t xml:space="preserve">        v = self._base(spec, seed)</t>
        </is>
      </c>
    </row>
    <row r="415">
      <c r="A415" s="28" t="inlineStr">
        <is>
          <t xml:space="preserve">        rows = []</t>
        </is>
      </c>
    </row>
    <row r="416">
      <c r="A416" s="28" t="inlineStr">
        <is>
          <t xml:space="preserve">        for i in range(n):</t>
        </is>
      </c>
    </row>
    <row r="417">
      <c r="A417" s="28" t="inlineStr">
        <is>
          <t xml:space="preserve">            wobble = math.sin((i + seed) / 5.0) * 0.04</t>
        </is>
      </c>
    </row>
    <row r="418">
      <c r="A418" s="28" t="inlineStr">
        <is>
          <t xml:space="preserve">            drift = 0.015 if i &gt; n - 8 else 0.0       # gentle recent rise -&gt; trips some thresholds</t>
        </is>
      </c>
    </row>
    <row r="419">
      <c r="A419" s="28" t="inlineStr">
        <is>
          <t xml:space="preserve">            v = max(0.05, v * (1.0 + wobble + drift))</t>
        </is>
      </c>
    </row>
    <row r="420">
      <c r="A420" s="28" t="inlineStr">
        <is>
          <t xml:space="preserve">            rows.append(NormalizedRow(</t>
        </is>
      </c>
    </row>
    <row r="421">
      <c r="A421" s="28" t="inlineStr">
        <is>
          <t xml:space="preserve">                id=spec.id, period=idx[i].date().isoformat(),</t>
        </is>
      </c>
    </row>
    <row r="422">
      <c r="A422" s="28" t="inlineStr">
        <is>
          <t xml:space="preserve">                value=round(v, 4), geo_segment=spec.geo_segment,</t>
        </is>
      </c>
    </row>
    <row r="423">
      <c r="A423" s="28" t="inlineStr">
        <is>
          <t xml:space="preserve">                source_class=spec.source_class, units=spec.units))</t>
        </is>
      </c>
    </row>
    <row r="424">
      <c r="A424" s="28" t="inlineStr">
        <is>
          <t xml:space="preserve">        # exercise the missing-value path deterministically</t>
        </is>
      </c>
    </row>
    <row r="425">
      <c r="A425" s="28" t="inlineStr">
        <is>
          <t xml:space="preserve">        rows[seed % n] = NormalizedRow(spec.id, rows[seed % n].period, None,</t>
        </is>
      </c>
    </row>
    <row r="426">
      <c r="A426" s="28" t="inlineStr">
        <is>
          <t xml:space="preserve">                                       spec.geo_segment, spec.source_class, spec.units)</t>
        </is>
      </c>
    </row>
    <row r="427">
      <c r="A427" s="28" t="inlineStr">
        <is>
          <t xml:space="preserve">        return rows</t>
        </is>
      </c>
    </row>
    <row r="428">
      <c r="A428" s="28" t="inlineStr"/>
    </row>
    <row r="429">
      <c r="A429" s="28" t="inlineStr"/>
    </row>
    <row r="430">
      <c r="A430" s="28" t="inlineStr">
        <is>
          <t>class HhdcProvider(Provider):</t>
        </is>
      </c>
    </row>
    <row r="431">
      <c r="A431" s="28" t="inlineStr">
        <is>
          <t xml:space="preserve">    """Live Class A provider: downloads the NY Fed Household Debt &amp; Credit public</t>
        </is>
      </c>
    </row>
    <row r="432">
      <c r="A432" s="28" t="inlineStr">
        <is>
          <t xml:space="preserve">    tables and maps each id via its source-locator. HHDC is a BULK published</t>
        </is>
      </c>
    </row>
    <row r="433">
      <c r="A433" s="28" t="inlineStr">
        <is>
          <t xml:space="preserve">    table, NOT a per-series API, and its literal column schema is UNKNOWN at spec</t>
        </is>
      </c>
    </row>
    <row r="434">
      <c r="A434" s="28" t="inlineStr">
        <is>
          <t xml:space="preserve">    time (Open Question #5) -- so _parse_table must be bound to the real columns</t>
        </is>
      </c>
    </row>
    <row r="435">
      <c r="A435" s="28" t="inlineStr">
        <is>
          <t xml:space="preserve">    before live use. Tests never exercise this path (they use HhdcDemoProvider);</t>
        </is>
      </c>
    </row>
    <row r="436">
      <c r="A436" s="28" t="inlineStr">
        <is>
          <t xml:space="preserve">    live-source idempotence is tested only against cached bytes, never the</t>
        </is>
      </c>
    </row>
    <row r="437">
      <c r="A437" s="28" t="inlineStr">
        <is>
          <t xml:space="preserve">    network (HHDC revises)."""</t>
        </is>
      </c>
    </row>
    <row r="438">
      <c r="A438" s="28" t="inlineStr"/>
    </row>
    <row r="439">
      <c r="A439" s="28" t="inlineStr">
        <is>
          <t xml:space="preserve">    source_class = "A"</t>
        </is>
      </c>
    </row>
    <row r="440">
      <c r="A440" s="28" t="inlineStr"/>
    </row>
    <row r="441">
      <c r="A441" s="28" t="inlineStr">
        <is>
          <t xml:space="preserve">    def __init__(self, min_interval: float = 0.0, max_retries: int = 3):</t>
        </is>
      </c>
    </row>
    <row r="442">
      <c r="A442" s="28" t="inlineStr">
        <is>
          <t xml:space="preserve">        self._min_interval = float(min_interval)</t>
        </is>
      </c>
    </row>
    <row r="443">
      <c r="A443" s="28" t="inlineStr">
        <is>
          <t xml:space="preserve">        self._max_retries = int(max_retries)</t>
        </is>
      </c>
    </row>
    <row r="444">
      <c r="A444" s="28" t="inlineStr">
        <is>
          <t xml:space="preserve">        self._last = 0.0</t>
        </is>
      </c>
    </row>
    <row r="445">
      <c r="A445" s="28" t="inlineStr">
        <is>
          <t xml:space="preserve">        self._cache: Dict[str, bytes] = {}</t>
        </is>
      </c>
    </row>
    <row r="446">
      <c r="A446" s="28" t="inlineStr"/>
    </row>
    <row r="447">
      <c r="A447" s="28" t="inlineStr">
        <is>
          <t xml:space="preserve">    def _throttle(self):</t>
        </is>
      </c>
    </row>
    <row r="448">
      <c r="A448" s="28" t="inlineStr">
        <is>
          <t xml:space="preserve">        gap = time.time() - self._last</t>
        </is>
      </c>
    </row>
    <row r="449">
      <c r="A449" s="28" t="inlineStr">
        <is>
          <t xml:space="preserve">        if gap &lt; self._min_interval:</t>
        </is>
      </c>
    </row>
    <row r="450">
      <c r="A450" s="28" t="inlineStr">
        <is>
          <t xml:space="preserve">            time.sleep(self._min_interval - gap)</t>
        </is>
      </c>
    </row>
    <row r="451">
      <c r="A451" s="28" t="inlineStr">
        <is>
          <t xml:space="preserve">        self._last = time.time()</t>
        </is>
      </c>
    </row>
    <row r="452">
      <c r="A452" s="28" t="inlineStr"/>
    </row>
    <row r="453">
      <c r="A453" s="28" t="inlineStr">
        <is>
          <t xml:space="preserve">    def _download(self, url: str) -&gt; bytes:</t>
        </is>
      </c>
    </row>
    <row r="454">
      <c r="A454" s="28" t="inlineStr">
        <is>
          <t xml:space="preserve">        if url in self._cache:                        # conditional-fetch/idempotency (L5)</t>
        </is>
      </c>
    </row>
    <row r="455">
      <c r="A455" s="28" t="inlineStr">
        <is>
          <t xml:space="preserve">            return self._cache[url]</t>
        </is>
      </c>
    </row>
    <row r="456">
      <c r="A456" s="28" t="inlineStr">
        <is>
          <t xml:space="preserve">        import urllib.request</t>
        </is>
      </c>
    </row>
    <row r="457">
      <c r="A457" s="28" t="inlineStr">
        <is>
          <t xml:space="preserve">        for attempt in range(self._max_retries + 1):</t>
        </is>
      </c>
    </row>
    <row r="458">
      <c r="A458" s="28" t="inlineStr">
        <is>
          <t xml:space="preserve">            self._throttle()</t>
        </is>
      </c>
    </row>
    <row r="459">
      <c r="A459" s="28" t="inlineStr">
        <is>
          <t xml:space="preserve">            try:</t>
        </is>
      </c>
    </row>
    <row r="460">
      <c r="A460" s="28" t="inlineStr">
        <is>
          <t xml:space="preserve">                with urllib.request.urlopen(url, timeout=30) as resp:</t>
        </is>
      </c>
    </row>
    <row r="461">
      <c r="A461" s="28" t="inlineStr">
        <is>
          <t xml:space="preserve">                    data = resp.read()</t>
        </is>
      </c>
    </row>
    <row r="462">
      <c r="A462" s="28" t="inlineStr">
        <is>
          <t xml:space="preserve">                self._cache[url] = data</t>
        </is>
      </c>
    </row>
    <row r="463">
      <c r="A463" s="28" t="inlineStr">
        <is>
          <t xml:space="preserve">                return data</t>
        </is>
      </c>
    </row>
    <row r="464">
      <c r="A464" s="28" t="inlineStr">
        <is>
          <t xml:space="preserve">            except Exception:</t>
        </is>
      </c>
    </row>
    <row r="465">
      <c r="A465" s="28" t="inlineStr">
        <is>
          <t xml:space="preserve">                if attempt &lt; self._max_retries:</t>
        </is>
      </c>
    </row>
    <row r="466">
      <c r="A466" s="28" t="inlineStr">
        <is>
          <t xml:space="preserve">                    time.sleep(2.0 * (attempt + 1))</t>
        </is>
      </c>
    </row>
    <row r="467">
      <c r="A467" s="28" t="inlineStr">
        <is>
          <t xml:space="preserve">                    continue</t>
        </is>
      </c>
    </row>
    <row r="468">
      <c r="A468" s="28" t="inlineStr">
        <is>
          <t xml:space="preserve">                raise</t>
        </is>
      </c>
    </row>
    <row r="469">
      <c r="A469" s="28" t="inlineStr"/>
    </row>
    <row r="470">
      <c r="A470" s="28" t="inlineStr">
        <is>
          <t xml:space="preserve">    def _parse_table(self, data: bytes, spec: SeriesSpec) -&gt; List[NormalizedRow]:</t>
        </is>
      </c>
    </row>
    <row r="471">
      <c r="A471" s="28" t="inlineStr">
        <is>
          <t xml:space="preserve">        # SCHEMA BINDING REQUIRED (Open Question #5): the literal HHDC table</t>
        </is>
      </c>
    </row>
    <row r="472">
      <c r="A472" s="28" t="inlineStr">
        <is>
          <t xml:space="preserve">        # columns are not established by research. Bind table_id/sheet/series_label</t>
        </is>
      </c>
    </row>
    <row r="473">
      <c r="A473" s="28" t="inlineStr">
        <is>
          <t xml:space="preserve">        # to the actual published layout here before any live run.</t>
        </is>
      </c>
    </row>
    <row r="474">
      <c r="A474" s="28" t="inlineStr">
        <is>
          <t xml:space="preserve">        raise NotImplementedError(</t>
        </is>
      </c>
    </row>
    <row r="475">
      <c r="A475" s="28" t="inlineStr">
        <is>
          <t xml:space="preserve">            "HhdcProvider._parse_table is unbound: the literal NY Fed HHDC table "</t>
        </is>
      </c>
    </row>
    <row r="476">
      <c r="A476" s="28" t="inlineStr">
        <is>
          <t xml:space="preserve">            "schema is an open question. Use --demo for build/test; bind this to "</t>
        </is>
      </c>
    </row>
    <row r="477">
      <c r="A477" s="28" t="inlineStr">
        <is>
          <t xml:space="preserve">            "the real published columns before a live pull.")</t>
        </is>
      </c>
    </row>
    <row r="478">
      <c r="A478" s="28" t="inlineStr"/>
    </row>
    <row r="479">
      <c r="A479" s="28" t="inlineStr">
        <is>
          <t xml:space="preserve">    def fetch_series(self, spec: SeriesSpec, secret=None) -&gt; List[NormalizedRow]:</t>
        </is>
      </c>
    </row>
    <row r="480">
      <c r="A480" s="28" t="inlineStr">
        <is>
          <t xml:space="preserve">        if not spec.source_url:</t>
        </is>
      </c>
    </row>
    <row r="481">
      <c r="A481" s="28" t="inlineStr">
        <is>
          <t xml:space="preserve">            raise ValueError(f"Series '{spec.id}' has no source_url for live HHDC fetch.")</t>
        </is>
      </c>
    </row>
    <row r="482">
      <c r="A482" s="28" t="inlineStr">
        <is>
          <t xml:space="preserve">        return self._parse_table(self._download(spec.source_url), spec)</t>
        </is>
      </c>
    </row>
    <row r="483">
      <c r="A483" s="28" t="inlineStr"/>
    </row>
    <row r="484">
      <c r="A484" s="28" t="inlineStr"/>
    </row>
    <row r="485">
      <c r="A485" s="28" t="inlineStr">
        <is>
          <t>class ClassCStubProvider(Provider):</t>
        </is>
      </c>
    </row>
    <row r="486">
      <c r="A486" s="28" t="inlineStr">
        <is>
          <t xml:space="preserve">    """In-process OAuth client_credentials STUB for the Phase 6 swap rehearsal.</t>
        </is>
      </c>
    </row>
    <row r="487">
      <c r="A487" s="28" t="inlineStr">
        <is>
          <t xml:space="preserve">    Makes NO live request -- it asserts the fail-fast + 401/missing-token code</t>
        </is>
      </c>
    </row>
    <row r="488">
      <c r="A488" s="28" t="inlineStr">
        <is>
          <t xml:space="preserve">    path without a token request. Live Class C calls are forbidden in v1."""</t>
        </is>
      </c>
    </row>
    <row r="489">
      <c r="A489" s="28" t="inlineStr"/>
    </row>
    <row r="490">
      <c r="A490" s="28" t="inlineStr">
        <is>
          <t xml:space="preserve">    source_class = "C"</t>
        </is>
      </c>
    </row>
    <row r="491">
      <c r="A491" s="28" t="inlineStr"/>
    </row>
    <row r="492">
      <c r="A492" s="28" t="inlineStr">
        <is>
          <t xml:space="preserve">    def __init__(self, secret_env: str):</t>
        </is>
      </c>
    </row>
    <row r="493">
      <c r="A493" s="28" t="inlineStr">
        <is>
          <t xml:space="preserve">        self.secret_env = secret_env</t>
        </is>
      </c>
    </row>
    <row r="494">
      <c r="A494" s="28" t="inlineStr">
        <is>
          <t xml:space="preserve">        self._token = None</t>
        </is>
      </c>
    </row>
    <row r="495">
      <c r="A495" s="28" t="inlineStr"/>
    </row>
    <row r="496">
      <c r="A496" s="28" t="inlineStr">
        <is>
          <t xml:space="preserve">    def _authenticate(self, secret):</t>
        </is>
      </c>
    </row>
    <row r="497">
      <c r="A497" s="28" t="inlineStr">
        <is>
          <t xml:space="preserve">        # Equifax pattern: token from client_id + client_secret + scope; a request</t>
        </is>
      </c>
    </row>
    <row r="498">
      <c r="A498" s="28" t="inlineStr">
        <is>
          <t xml:space="preserve">        # without a valid token returns HTTP 401. Stubbed -- never hits a network.</t>
        </is>
      </c>
    </row>
    <row r="499">
      <c r="A499" s="28" t="inlineStr">
        <is>
          <t xml:space="preserve">        if not secret:</t>
        </is>
      </c>
    </row>
    <row r="500">
      <c r="A500" s="28" t="inlineStr">
        <is>
          <t xml:space="preserve">            raise PermissionError("HTTP 401: missing/invalid access token "</t>
        </is>
      </c>
    </row>
    <row r="501">
      <c r="A501" s="28" t="inlineStr">
        <is>
          <t xml:space="preserve">                                  "(client_credentials not supplied).")</t>
        </is>
      </c>
    </row>
    <row r="502">
      <c r="A502" s="28" t="inlineStr">
        <is>
          <t xml:space="preserve">        self._token = "stub-token"</t>
        </is>
      </c>
    </row>
    <row r="503">
      <c r="A503" s="28" t="inlineStr">
        <is>
          <t xml:space="preserve">        return self._token</t>
        </is>
      </c>
    </row>
    <row r="504">
      <c r="A504" s="28" t="inlineStr"/>
    </row>
    <row r="505">
      <c r="A505" s="28" t="inlineStr">
        <is>
          <t xml:space="preserve">    def fetch_series(self, spec: SeriesSpec, secret=None) -&gt; List[NormalizedRow]:</t>
        </is>
      </c>
    </row>
    <row r="506">
      <c r="A506" s="28" t="inlineStr">
        <is>
          <t xml:space="preserve">        self._authenticate(secret)</t>
        </is>
      </c>
    </row>
    <row r="507">
      <c r="A507" s="28" t="inlineStr">
        <is>
          <t xml:space="preserve">        # A real adapter would call the licensed endpoint and normalize. The</t>
        </is>
      </c>
    </row>
    <row r="508">
      <c r="A508" s="28" t="inlineStr">
        <is>
          <t xml:space="preserve">        # stub returns one schema-shaped, VALUELESS row: it proves the seam</t>
        </is>
      </c>
    </row>
    <row r="509">
      <c r="A509" s="28" t="inlineStr">
        <is>
          <t xml:space="preserve">        # contract (Section 1a) without fabricating licensed data.</t>
        </is>
      </c>
    </row>
    <row r="510">
      <c r="A510" s="28" t="inlineStr">
        <is>
          <t xml:space="preserve">        return [NormalizedRow(id=spec.id, period="1900-01-01", value=None,</t>
        </is>
      </c>
    </row>
    <row r="511">
      <c r="A511" s="28" t="inlineStr">
        <is>
          <t xml:space="preserve">                              geo_segment=spec.geo_segment, source_class="C",</t>
        </is>
      </c>
    </row>
    <row r="512">
      <c r="A512" s="28" t="inlineStr">
        <is>
          <t xml:space="preserve">                              units=spec.units)]</t>
        </is>
      </c>
    </row>
    <row r="513">
      <c r="A513" s="28" t="inlineStr"/>
    </row>
    <row r="514">
      <c r="A514" s="28" t="inlineStr"/>
    </row>
    <row r="515">
      <c r="A515" s="28" t="inlineStr">
        <is>
          <t>def resolve_secret(cfg: Config) -&gt; Optional[str]:</t>
        </is>
      </c>
    </row>
    <row r="516">
      <c r="A516" s="28" t="inlineStr">
        <is>
          <t xml:space="preserve">    """Class C secret from the env var whose NAME is recorded in _config; never</t>
        </is>
      </c>
    </row>
    <row r="517">
      <c r="A517" s="28" t="inlineStr">
        <is>
          <t xml:space="preserve">    hardcoded. Absent env var -&gt; fail fast (handled by the caller)."""</t>
        </is>
      </c>
    </row>
    <row r="518">
      <c r="A518" s="28" t="inlineStr">
        <is>
          <t xml:space="preserve">    name = str(cfg.setting("secret_env", "") or "").strip()</t>
        </is>
      </c>
    </row>
    <row r="519">
      <c r="A519" s="28" t="inlineStr">
        <is>
          <t xml:space="preserve">    if not name:</t>
        </is>
      </c>
    </row>
    <row r="520">
      <c r="A520" s="28" t="inlineStr">
        <is>
          <t xml:space="preserve">        return None</t>
        </is>
      </c>
    </row>
    <row r="521">
      <c r="A521" s="28" t="inlineStr">
        <is>
          <t xml:space="preserve">    return os.environ.get(name)</t>
        </is>
      </c>
    </row>
    <row r="522">
      <c r="A522" s="28" t="inlineStr"/>
    </row>
    <row r="523">
      <c r="A523" s="28" t="inlineStr"/>
    </row>
    <row r="524">
      <c r="A524" s="28" t="inlineStr">
        <is>
          <t>def make_provider(cfg: Config, demo: bool, asof: Optional[date]) -&gt; Provider:</t>
        </is>
      </c>
    </row>
    <row r="525">
      <c r="A525" s="28" t="inlineStr">
        <is>
          <t xml:space="preserve">    if demo or _as_bool(cfg.setting("demo_mode", "false")):</t>
        </is>
      </c>
    </row>
    <row r="526">
      <c r="A526" s="28" t="inlineStr">
        <is>
          <t xml:space="preserve">        return HhdcDemoProvider(asof=asof, slots=cfg.raw_slots)</t>
        </is>
      </c>
    </row>
    <row r="527">
      <c r="A527" s="28" t="inlineStr">
        <is>
          <t xml:space="preserve">    return HhdcProvider(min_interval=float(cfg.setting("http_min_interval", 0.0) or 0.0))</t>
        </is>
      </c>
    </row>
    <row r="528">
      <c r="A528" s="28" t="inlineStr"/>
    </row>
    <row r="529">
      <c r="A529" s="28" t="inlineStr"/>
    </row>
    <row r="530">
      <c r="A530" s="28" t="inlineStr">
        <is>
          <t># ---------------------------------------------------------------------------</t>
        </is>
      </c>
    </row>
    <row r="531">
      <c r="A531" s="28" t="inlineStr">
        <is>
          <t># RAW LAYOUT -- fixed anchors shared with the builder</t>
        </is>
      </c>
    </row>
    <row r="532">
      <c r="A532" s="28" t="inlineStr">
        <is>
          <t># ---------------------------------------------------------------------------</t>
        </is>
      </c>
    </row>
    <row r="533">
      <c r="A533" s="28" t="inlineStr">
        <is>
          <t>@dataclass</t>
        </is>
      </c>
    </row>
    <row r="534">
      <c r="A534" s="28" t="inlineStr">
        <is>
          <t>class RawBlock:</t>
        </is>
      </c>
    </row>
    <row r="535">
      <c r="A535" s="28" t="inlineStr">
        <is>
          <t xml:space="preserve">    id: str</t>
        </is>
      </c>
    </row>
    <row r="536">
      <c r="A536" s="28" t="inlineStr">
        <is>
          <t xml:space="preserve">    header_row: int</t>
        </is>
      </c>
    </row>
    <row r="537">
      <c r="A537" s="28" t="inlineStr">
        <is>
          <t xml:space="preserve">    label_row: int</t>
        </is>
      </c>
    </row>
    <row r="538">
      <c r="A538" s="28" t="inlineStr">
        <is>
          <t xml:space="preserve">    first_data_row: int</t>
        </is>
      </c>
    </row>
    <row r="539">
      <c r="A539" s="28" t="inlineStr">
        <is>
          <t xml:space="preserve">    slots: int</t>
        </is>
      </c>
    </row>
    <row r="540">
      <c r="A540" s="28" t="inlineStr"/>
    </row>
    <row r="541">
      <c r="A541" s="28" t="inlineStr"/>
    </row>
    <row r="542">
      <c r="A542" s="28" t="inlineStr">
        <is>
          <t>def _col(idx: int) -&gt; str:</t>
        </is>
      </c>
    </row>
    <row r="543">
      <c r="A543" s="28" t="inlineStr">
        <is>
          <t xml:space="preserve">    s = ""</t>
        </is>
      </c>
    </row>
    <row r="544">
      <c r="A544" s="28" t="inlineStr">
        <is>
          <t xml:space="preserve">    while idx &gt; 0:</t>
        </is>
      </c>
    </row>
    <row r="545">
      <c r="A545" s="28" t="inlineStr">
        <is>
          <t xml:space="preserve">        idx, r = divmod(idx - 1, 26)</t>
        </is>
      </c>
    </row>
    <row r="546">
      <c r="A546" s="28" t="inlineStr">
        <is>
          <t xml:space="preserve">        s = chr(65 + r) + s</t>
        </is>
      </c>
    </row>
    <row r="547">
      <c r="A547" s="28" t="inlineStr">
        <is>
          <t xml:space="preserve">    return s</t>
        </is>
      </c>
    </row>
    <row r="548">
      <c r="A548" s="28" t="inlineStr"/>
    </row>
    <row r="549">
      <c r="A549" s="28" t="inlineStr"/>
    </row>
    <row r="550">
      <c r="A550" s="28" t="inlineStr">
        <is>
          <t>def raw_layout(series: Sequence[SeriesSpec], slots: int = RAW_SLOTS_DEFAULT) -&gt; Dict[str, RawBlock]:</t>
        </is>
      </c>
    </row>
    <row r="551">
      <c r="A551" s="28" t="inlineStr">
        <is>
          <t xml:space="preserve">    """Deterministic block placement in Raw_HHDC: same input -&gt; same anchors."""</t>
        </is>
      </c>
    </row>
    <row r="552">
      <c r="A552" s="28" t="inlineStr">
        <is>
          <t xml:space="preserve">    stride = RAW_HEADER_ROWS + slots + RAW_GAP_ROWS</t>
        </is>
      </c>
    </row>
    <row r="553">
      <c r="A553" s="28" t="inlineStr">
        <is>
          <t xml:space="preserve">    blocks = {}</t>
        </is>
      </c>
    </row>
    <row r="554">
      <c r="A554" s="28" t="inlineStr">
        <is>
          <t xml:space="preserve">    for i, s in enumerate(series):</t>
        </is>
      </c>
    </row>
    <row r="555">
      <c r="A555" s="28" t="inlineStr">
        <is>
          <t xml:space="preserve">        header_row = RAW_FIRST_ROW + i * stride</t>
        </is>
      </c>
    </row>
    <row r="556">
      <c r="A556" s="28" t="inlineStr">
        <is>
          <t xml:space="preserve">        blocks[s.id] = RawBlock(s.id, header_row, header_row + 1,</t>
        </is>
      </c>
    </row>
    <row r="557">
      <c r="A557" s="28" t="inlineStr">
        <is>
          <t xml:space="preserve">                                header_row + RAW_HEADER_ROWS, slots)</t>
        </is>
      </c>
    </row>
    <row r="558">
      <c r="A558" s="28" t="inlineStr">
        <is>
          <t xml:space="preserve">    return blocks</t>
        </is>
      </c>
    </row>
    <row r="559">
      <c r="A559" s="28" t="inlineStr"/>
    </row>
    <row r="560">
      <c r="A560" s="28" t="inlineStr"/>
    </row>
    <row r="561">
      <c r="A561" s="28" t="inlineStr">
        <is>
          <t># ---------------------------------------------------------------------------</t>
        </is>
      </c>
    </row>
    <row r="562">
      <c r="A562" s="28" t="inlineStr">
        <is>
          <t># WRITE BACKEND -- openpyxl on the closed workbook (BUILD SPEC sec 5 / L2)</t>
        </is>
      </c>
    </row>
    <row r="563">
      <c r="A563" s="28" t="inlineStr">
        <is>
          <t># ---------------------------------------------------------------------------</t>
        </is>
      </c>
    </row>
    <row r="564">
      <c r="A564" s="28" t="inlineStr">
        <is>
          <t>class OpenpyxlBackend:</t>
        </is>
      </c>
    </row>
    <row r="565">
      <c r="A565" s="28" t="inlineStr">
        <is>
          <t xml:space="preserve">    def __init__(self, path: str):</t>
        </is>
      </c>
    </row>
    <row r="566">
      <c r="A566" s="28" t="inlineStr">
        <is>
          <t xml:space="preserve">        self.path = path</t>
        </is>
      </c>
    </row>
    <row r="567">
      <c r="A567" s="28" t="inlineStr">
        <is>
          <t xml:space="preserve">        import openpyxl</t>
        </is>
      </c>
    </row>
    <row r="568">
      <c r="A568" s="28" t="inlineStr">
        <is>
          <t xml:space="preserve">        # L2: keep_vba=True ONLY for .xlsm; on .xlsx it injects a dangling</t>
        </is>
      </c>
    </row>
    <row r="569">
      <c r="A569" s="28" t="inlineStr">
        <is>
          <t xml:space="preserve">        # vbaProject relationship Excel rejects as "format/extension not valid".</t>
        </is>
      </c>
    </row>
    <row r="570">
      <c r="A570" s="28" t="inlineStr">
        <is>
          <t xml:space="preserve">        keep_vba = path.lower().endswith(".xlsm")</t>
        </is>
      </c>
    </row>
    <row r="571">
      <c r="A571" s="28" t="inlineStr">
        <is>
          <t xml:space="preserve">        self._wb = openpyxl.load_workbook(path, keep_vba=keep_vba)</t>
        </is>
      </c>
    </row>
    <row r="572">
      <c r="A572" s="28" t="inlineStr"/>
    </row>
    <row r="573">
      <c r="A573" s="28" t="inlineStr">
        <is>
          <t xml:space="preserve">    def read_config(self) -&gt; Config:</t>
        </is>
      </c>
    </row>
    <row r="574">
      <c r="A574" s="28" t="inlineStr">
        <is>
          <t xml:space="preserve">        ws = self._wb["_config"]</t>
        </is>
      </c>
    </row>
    <row r="575">
      <c r="A575" s="28" t="inlineStr">
        <is>
          <t xml:space="preserve">        return parse_config([[c.value for c in row] for row in ws.iter_rows()])</t>
        </is>
      </c>
    </row>
    <row r="576">
      <c r="A576" s="28" t="inlineStr"/>
    </row>
    <row r="577">
      <c r="A577" s="28" t="inlineStr">
        <is>
          <t xml:space="preserve">    def _check_block(self, block: RawBlock, spec: SeriesSpec):</t>
        </is>
      </c>
    </row>
    <row r="578">
      <c r="A578" s="28" t="inlineStr">
        <is>
          <t xml:space="preserve">        """Refuse to write into a workbook whose raw layout doesn't match the</t>
        </is>
      </c>
    </row>
    <row r="579">
      <c r="A579" s="28" t="inlineStr">
        <is>
          <t xml:space="preserve">        computed one (e.g. raw_slots edited after build): every dashboard</t>
        </is>
      </c>
    </row>
    <row r="580">
      <c r="A580" s="28" t="inlineStr">
        <is>
          <t xml:space="preserve">        formula is anchored to the BUILT layout, so a silent mismatch would</t>
        </is>
      </c>
    </row>
    <row r="581">
      <c r="A581" s="28" t="inlineStr">
        <is>
          <t xml:space="preserve">        make the whole workbook quietly wrong. Rebuild instead."""</t>
        </is>
      </c>
    </row>
    <row r="582">
      <c r="A582" s="28" t="inlineStr">
        <is>
          <t xml:space="preserve">        ws = self._wb[RAW_TAB]</t>
        </is>
      </c>
    </row>
    <row r="583">
      <c r="A583" s="28" t="inlineStr">
        <is>
          <t xml:space="preserve">        existing = ws.cell(block.header_row, 1).value</t>
        </is>
      </c>
    </row>
    <row r="584">
      <c r="A584" s="28" t="inlineStr">
        <is>
          <t xml:space="preserve">        if existing is not None and str(existing).strip() not in ("", spec.id):</t>
        </is>
      </c>
    </row>
    <row r="585">
      <c r="A585" s="28" t="inlineStr">
        <is>
          <t xml:space="preserve">            raise RuntimeError(</t>
        </is>
      </c>
    </row>
    <row r="586">
      <c r="A586" s="28" t="inlineStr">
        <is>
          <t xml:space="preserve">                f"Raw layout mismatch in {RAW_TAB} at row {block.header_row}: "</t>
        </is>
      </c>
    </row>
    <row r="587">
      <c r="A587" s="28" t="inlineStr">
        <is>
          <t xml:space="preserve">                f"expected block '{spec.id}' but found '{existing}'. The workbook "</t>
        </is>
      </c>
    </row>
    <row r="588">
      <c r="A588" s="28" t="inlineStr">
        <is>
          <t xml:space="preserve">                f"was built with a different raw_slots/series layout than _config "</t>
        </is>
      </c>
    </row>
    <row r="589">
      <c r="A589" s="28" t="inlineStr">
        <is>
          <t xml:space="preserve">                f"now describes; dashboard formulas are anchored to the built "</t>
        </is>
      </c>
    </row>
    <row r="590">
      <c r="A590" s="28" t="inlineStr">
        <is>
          <t xml:space="preserve">                f"layout. Rebuild the workbook (make_workbook.py) instead of "</t>
        </is>
      </c>
    </row>
    <row r="591">
      <c r="A591" s="28" t="inlineStr">
        <is>
          <t xml:space="preserve">                f"editing raw_slots in place.")</t>
        </is>
      </c>
    </row>
    <row r="592">
      <c r="A592" s="28" t="inlineStr"/>
    </row>
    <row r="593">
      <c r="A593" s="28" t="inlineStr">
        <is>
          <t xml:space="preserve">    def clear_raw_block(self, block: RawBlock, spec: SeriesSpec):</t>
        </is>
      </c>
    </row>
    <row r="594">
      <c r="A594" s="28" t="inlineStr">
        <is>
          <t xml:space="preserve">        """Blank a block's data slots (stateless rebuild: a series that fails</t>
        </is>
      </c>
    </row>
    <row r="595">
      <c r="A595" s="28" t="inlineStr">
        <is>
          <t xml:space="preserve">        to fetch must show empty, never last run's stale values)."""</t>
        </is>
      </c>
    </row>
    <row r="596">
      <c r="A596" s="28" t="inlineStr">
        <is>
          <t xml:space="preserve">        self._check_block(block, spec)</t>
        </is>
      </c>
    </row>
    <row r="597">
      <c r="A597" s="28" t="inlineStr">
        <is>
          <t xml:space="preserve">        ws = self._wb[RAW_TAB]</t>
        </is>
      </c>
    </row>
    <row r="598">
      <c r="A598" s="28" t="inlineStr">
        <is>
          <t xml:space="preserve">        for r in range(block.first_data_row, block.first_data_row + block.slots):</t>
        </is>
      </c>
    </row>
    <row r="599">
      <c r="A599" s="28" t="inlineStr">
        <is>
          <t xml:space="preserve">            ws.cell(r, 1, None)</t>
        </is>
      </c>
    </row>
    <row r="600">
      <c r="A600" s="28" t="inlineStr">
        <is>
          <t xml:space="preserve">            ws.cell(r, 2, None)</t>
        </is>
      </c>
    </row>
    <row r="601">
      <c r="A601" s="28" t="inlineStr"/>
    </row>
    <row r="602">
      <c r="A602" s="28" t="inlineStr">
        <is>
          <t xml:space="preserve">    def write_raw_block(self, block: RawBlock, spec: SeriesSpec, rows: List[NormalizedRow]):</t>
        </is>
      </c>
    </row>
    <row r="603">
      <c r="A603" s="28" t="inlineStr">
        <is>
          <t xml:space="preserve">        self._check_block(block, spec)</t>
        </is>
      </c>
    </row>
    <row r="604">
      <c r="A604" s="28" t="inlineStr">
        <is>
          <t xml:space="preserve">        ws = self._wb[RAW_TAB]</t>
        </is>
      </c>
    </row>
    <row r="605">
      <c r="A605" s="28" t="inlineStr">
        <is>
          <t xml:space="preserve">        ws.cell(block.header_row, 1, spec.id)</t>
        </is>
      </c>
    </row>
    <row r="606">
      <c r="A606" s="28" t="inlineStr">
        <is>
          <t xml:space="preserve">        ws.cell(block.header_row, 2, spec.title)</t>
        </is>
      </c>
    </row>
    <row r="607">
      <c r="A607" s="28" t="inlineStr">
        <is>
          <t xml:space="preserve">        ws.cell(block.header_row, 3, f"freq={spec.frequency}; transform={spec.transform}; "</t>
        </is>
      </c>
    </row>
    <row r="608">
      <c r="A608" s="28" t="inlineStr">
        <is>
          <t xml:space="preserve">                                     f"class={spec.source_class}; geo={spec.geo_segment}")</t>
        </is>
      </c>
    </row>
    <row r="609">
      <c r="A609" s="28" t="inlineStr">
        <is>
          <t xml:space="preserve">        ws.cell(block.label_row, 1, "period")</t>
        </is>
      </c>
    </row>
    <row r="610">
      <c r="A610" s="28" t="inlineStr">
        <is>
          <t xml:space="preserve">        ws.cell(block.label_row, 2, "value")</t>
        </is>
      </c>
    </row>
    <row r="611">
      <c r="A611" s="28" t="inlineStr">
        <is>
          <t xml:space="preserve">        for r in range(block.first_data_row, block.first_data_row + block.slots):</t>
        </is>
      </c>
    </row>
    <row r="612">
      <c r="A612" s="28" t="inlineStr">
        <is>
          <t xml:space="preserve">            ws.cell(r, 1, None)</t>
        </is>
      </c>
    </row>
    <row r="613">
      <c r="A613" s="28" t="inlineStr">
        <is>
          <t xml:space="preserve">            ws.cell(r, 2, None)</t>
        </is>
      </c>
    </row>
    <row r="614">
      <c r="A614" s="28" t="inlineStr">
        <is>
          <t xml:space="preserve">        # newest-first</t>
        </is>
      </c>
    </row>
    <row r="615">
      <c r="A615" s="28" t="inlineStr">
        <is>
          <t xml:space="preserve">        tail = rows[-block.slots:] if len(rows) &gt; block.slots else rows</t>
        </is>
      </c>
    </row>
    <row r="616">
      <c r="A616" s="28" t="inlineStr">
        <is>
          <t xml:space="preserve">        for i, nr in enumerate(reversed(tail)):</t>
        </is>
      </c>
    </row>
    <row r="617">
      <c r="A617" s="28" t="inlineStr">
        <is>
          <t xml:space="preserve">            rr = block.first_data_row + i</t>
        </is>
      </c>
    </row>
    <row r="618">
      <c r="A618" s="28" t="inlineStr">
        <is>
          <t xml:space="preserve">            ws.cell(rr, 1, nr.period)</t>
        </is>
      </c>
    </row>
    <row r="619">
      <c r="A619" s="28" t="inlineStr">
        <is>
          <t xml:space="preserve">            ws.cell(rr, 2, None if nr.value is None else float(nr.value))</t>
        </is>
      </c>
    </row>
    <row r="620">
      <c r="A620" s="28" t="inlineStr"/>
    </row>
    <row r="621">
      <c r="A621" s="28" t="inlineStr">
        <is>
          <t xml:space="preserve">    def write_status(self, status: dict):</t>
        </is>
      </c>
    </row>
    <row r="622">
      <c r="A622" s="28" t="inlineStr">
        <is>
          <t xml:space="preserve">        line2 = (f"Series {status.get('series_pulled', 0)}/"</t>
        </is>
      </c>
    </row>
    <row r="623">
      <c r="A623" s="28" t="inlineStr">
        <is>
          <t xml:space="preserve">                 f"{status.get('series_in_dict', 0)} - "</t>
        </is>
      </c>
    </row>
    <row r="624">
      <c r="A624" s="28" t="inlineStr">
        <is>
          <t xml:space="preserve">                 f"{status.get('alert_count', 0)} ALERT / "</t>
        </is>
      </c>
    </row>
    <row r="625">
      <c r="A625" s="28" t="inlineStr">
        <is>
          <t xml:space="preserve">                 f"{status.get('watch_count', 0)} WATCH")</t>
        </is>
      </c>
    </row>
    <row r="626">
      <c r="A626" s="28" t="inlineStr">
        <is>
          <t xml:space="preserve">        n_err = len(status.get("errors") or [])</t>
        </is>
      </c>
    </row>
    <row r="627">
      <c r="A627" s="28" t="inlineStr">
        <is>
          <t xml:space="preserve">        if n_err:</t>
        </is>
      </c>
    </row>
    <row r="628">
      <c r="A628" s="28" t="inlineStr">
        <is>
          <t xml:space="preserve">            line2 += f" - {n_err} FETCH ERRORS (blocks blanked)"</t>
        </is>
      </c>
    </row>
    <row r="629">
      <c r="A629" s="28" t="inlineStr">
        <is>
          <t xml:space="preserve">        for tab in ("Dashboard_Balances", "Dashboard_Delinquency", "Dashboard_Originations"):</t>
        </is>
      </c>
    </row>
    <row r="630">
      <c r="A630" s="28" t="inlineStr">
        <is>
          <t xml:space="preserve">            if tab in self._wb.sheetnames:</t>
        </is>
      </c>
    </row>
    <row r="631">
      <c r="A631" s="28" t="inlineStr">
        <is>
          <t xml:space="preserve">                ws = self._wb[tab]</t>
        </is>
      </c>
    </row>
    <row r="632">
      <c r="A632" s="28" t="inlineStr">
        <is>
          <t xml:space="preserve">                ws.cell(1, STATUS_COL, "Last run  " + status.get("timestamp", ""))</t>
        </is>
      </c>
    </row>
    <row r="633">
      <c r="A633" s="28" t="inlineStr">
        <is>
          <t xml:space="preserve">                ws.cell(2, STATUS_COL, line2)</t>
        </is>
      </c>
    </row>
    <row r="634">
      <c r="A634" s="28" t="inlineStr"/>
    </row>
    <row r="635">
      <c r="A635" s="28" t="inlineStr">
        <is>
          <t xml:space="preserve">    def finalize(self):</t>
        </is>
      </c>
    </row>
    <row r="636">
      <c r="A636" s="28" t="inlineStr">
        <is>
          <t xml:space="preserve">        self._wb.save(self.path)</t>
        </is>
      </c>
    </row>
    <row r="637">
      <c r="A637" s="28" t="inlineStr"/>
    </row>
    <row r="638">
      <c r="A638" s="28" t="inlineStr"/>
    </row>
    <row r="639">
      <c r="A639" s="28" t="inlineStr">
        <is>
          <t># ---------------------------------------------------------------------------</t>
        </is>
      </c>
    </row>
    <row r="640">
      <c r="A640" s="28" t="inlineStr">
        <is>
          <t># ORCHESTRATION</t>
        </is>
      </c>
    </row>
    <row r="641">
      <c r="A641" s="28" t="inlineStr">
        <is>
          <t># ---------------------------------------------------------------------------</t>
        </is>
      </c>
    </row>
    <row r="642">
      <c r="A642" s="28" t="inlineStr">
        <is>
          <t>def compute_digest(cfg: Config, series_rows: Dict[str, List[NormalizedRow]]) -&gt; List[dict]:</t>
        </is>
      </c>
    </row>
    <row r="643">
      <c r="A643" s="28" t="inlineStr">
        <is>
          <t xml:space="preserve">    """Per-series headline transform value + OK/WATCH/ALERT status (the engine</t>
        </is>
      </c>
    </row>
    <row r="644">
      <c r="A644" s="28" t="inlineStr">
        <is>
          <t xml:space="preserve">    output consumed by dashboards + email-sim)."""</t>
        </is>
      </c>
    </row>
    <row r="645">
      <c r="A645" s="28" t="inlineStr">
        <is>
          <t xml:space="preserve">    digest = []</t>
        </is>
      </c>
    </row>
    <row r="646">
      <c r="A646" s="28" t="inlineStr">
        <is>
          <t xml:space="preserve">    for spec in cfg.series:</t>
        </is>
      </c>
    </row>
    <row r="647">
      <c r="A647" s="28" t="inlineStr">
        <is>
          <t xml:space="preserve">        if not spec.dashboard_capable or spec.id not in series_rows:</t>
        </is>
      </c>
    </row>
    <row r="648">
      <c r="A648" s="28" t="inlineStr">
        <is>
          <t xml:space="preserve">            continue</t>
        </is>
      </c>
    </row>
    <row r="649">
      <c r="A649" s="28" t="inlineStr">
        <is>
          <t xml:space="preserve">        vals = [r.value for r in series_rows[spec.id]]</t>
        </is>
      </c>
    </row>
    <row r="650">
      <c r="A650" s="28" t="inlineStr">
        <is>
          <t xml:space="preserve">        s = pd.Series(vals, dtype="float64")</t>
        </is>
      </c>
    </row>
    <row r="651">
      <c r="A651" s="28" t="inlineStr">
        <is>
          <t xml:space="preserve">        headline = latest_valid(apply_transform(spec, s))</t>
        </is>
      </c>
    </row>
    <row r="652">
      <c r="A652" s="28" t="inlineStr">
        <is>
          <t xml:space="preserve">        thr = cfg.thresholds.get(spec.id)</t>
        </is>
      </c>
    </row>
    <row r="653">
      <c r="A653" s="28" t="inlineStr">
        <is>
          <t xml:space="preserve">        digest.append({"id": spec.id, "title": spec.title, "metric": spec.metric_type,</t>
        </is>
      </c>
    </row>
    <row r="654">
      <c r="A654" s="28" t="inlineStr">
        <is>
          <t xml:space="preserve">                       "transform": spec.transform, "value": headline,</t>
        </is>
      </c>
    </row>
    <row r="655">
      <c r="A655" s="28" t="inlineStr">
        <is>
          <t xml:space="preserve">                       "asof_period": last_observation_period(series_rows[spec.id]),</t>
        </is>
      </c>
    </row>
    <row r="656">
      <c r="A656" s="28" t="inlineStr">
        <is>
          <t xml:space="preserve">                       "status": status_for(spec, headline, thr)})</t>
        </is>
      </c>
    </row>
    <row r="657">
      <c r="A657" s="28" t="inlineStr">
        <is>
          <t xml:space="preserve">    return digest</t>
        </is>
      </c>
    </row>
    <row r="658">
      <c r="A658" s="28" t="inlineStr"/>
    </row>
    <row r="659">
      <c r="A659" s="28" t="inlineStr"/>
    </row>
    <row r="660">
      <c r="A660" s="28" t="inlineStr">
        <is>
          <t>def run(workbook_path: str, demo: bool = False, asof: Optional[date] = None) -&gt; dict:</t>
        </is>
      </c>
    </row>
    <row r="661">
      <c r="A661" s="28" t="inlineStr">
        <is>
          <t xml:space="preserve">    asof = asof or date.today()</t>
        </is>
      </c>
    </row>
    <row r="662">
      <c r="A662" s="28" t="inlineStr">
        <is>
          <t xml:space="preserve">    backend = OpenpyxlBackend(workbook_path)</t>
        </is>
      </c>
    </row>
    <row r="663">
      <c r="A663" s="28" t="inlineStr">
        <is>
          <t xml:space="preserve">    cfg = backend.read_config()</t>
        </is>
      </c>
    </row>
    <row r="664">
      <c r="A664" s="28" t="inlineStr"/>
    </row>
    <row r="665">
      <c r="A665" s="28" t="inlineStr">
        <is>
          <t xml:space="preserve">    # Hard gates BEFORE any fetch (BUILD SPEC 0.1, sec 3).</t>
        </is>
      </c>
    </row>
    <row r="666">
      <c r="A666" s="28" t="inlineStr">
        <is>
          <t xml:space="preserve">    validate_transforms(cfg.series)</t>
        </is>
      </c>
    </row>
    <row r="667">
      <c r="A667" s="28" t="inlineStr">
        <is>
          <t xml:space="preserve">    assert_no_public_in_watchlist(cfg.series)</t>
        </is>
      </c>
    </row>
    <row r="668">
      <c r="A668" s="28" t="inlineStr">
        <is>
          <t xml:space="preserve">    admitted, refusals = evaluate_watchlist(cfg.series)</t>
        </is>
      </c>
    </row>
    <row r="669">
      <c r="A669" s="28" t="inlineStr"/>
    </row>
    <row r="670">
      <c r="A670" s="28" t="inlineStr">
        <is>
          <t xml:space="preserve">    if not (demo or _as_bool(cfg.setting("demo_mode", "false"))):</t>
        </is>
      </c>
    </row>
    <row r="671">
      <c r="A671" s="28" t="inlineStr">
        <is>
          <t xml:space="preserve">        # live HHDC needs no secret; a Class C swap would fail fast here.</t>
        </is>
      </c>
    </row>
    <row r="672">
      <c r="A672" s="28" t="inlineStr">
        <is>
          <t xml:space="preserve">        secret_name = str(cfg.setting("secret_env", "") or "").strip()</t>
        </is>
      </c>
    </row>
    <row r="673">
      <c r="A673" s="28" t="inlineStr">
        <is>
          <t xml:space="preserve">        if secret_name and resolve_secret(cfg) is None:</t>
        </is>
      </c>
    </row>
    <row r="674">
      <c r="A674" s="28" t="inlineStr">
        <is>
          <t xml:space="preserve">            raise SystemExit(f"Secret env var '{secret_name}' is not set. "</t>
        </is>
      </c>
    </row>
    <row r="675">
      <c r="A675" s="28" t="inlineStr">
        <is>
          <t xml:space="preserve">                             "Set it before a licensed (Class C) run; never hardcode it.")</t>
        </is>
      </c>
    </row>
    <row r="676">
      <c r="A676" s="28" t="inlineStr">
        <is>
          <t xml:space="preserve">    provider = make_provider(cfg, demo, asof)</t>
        </is>
      </c>
    </row>
    <row r="677">
      <c r="A677" s="28" t="inlineStr">
        <is>
          <t xml:space="preserve">    mode = "demo" if isinstance(provider, HhdcDemoProvider) else "live"</t>
        </is>
      </c>
    </row>
    <row r="678">
      <c r="A678" s="28" t="inlineStr"/>
    </row>
    <row r="679">
      <c r="A679" s="28" t="inlineStr">
        <is>
          <t xml:space="preserve">    blocks = raw_layout(cfg.series, slots=cfg.raw_slots)</t>
        </is>
      </c>
    </row>
    <row r="680">
      <c r="A680" s="28" t="inlineStr">
        <is>
          <t xml:space="preserve">    series_rows: Dict[str, List[NormalizedRow]] = {}</t>
        </is>
      </c>
    </row>
    <row r="681">
      <c r="A681" s="28" t="inlineStr">
        <is>
          <t xml:space="preserve">    pulled, errors = 0, []</t>
        </is>
      </c>
    </row>
    <row r="682">
      <c r="A682" s="28" t="inlineStr">
        <is>
          <t xml:space="preserve">    # Stateless rebuild (BUILD SPEC 0.2): blank EVERY block first, so a series</t>
        </is>
      </c>
    </row>
    <row r="683">
      <c r="A683" s="28" t="inlineStr">
        <is>
          <t xml:space="preserve">    # whose fetch fails shows empty under the fresh timestamp -- never last</t>
        </is>
      </c>
    </row>
    <row r="684">
      <c r="A684" s="28" t="inlineStr">
        <is>
          <t xml:space="preserve">    # run's stale values masquerading as current. This also validates the</t>
        </is>
      </c>
    </row>
    <row r="685">
      <c r="A685" s="28" t="inlineStr">
        <is>
          <t xml:space="preserve">    # workbook's raw layout against _config before anything is fetched.</t>
        </is>
      </c>
    </row>
    <row r="686">
      <c r="A686" s="28" t="inlineStr">
        <is>
          <t xml:space="preserve">    for spec in cfg.series:</t>
        </is>
      </c>
    </row>
    <row r="687">
      <c r="A687" s="28" t="inlineStr">
        <is>
          <t xml:space="preserve">        if spec.lane != "watchlist":</t>
        </is>
      </c>
    </row>
    <row r="688">
      <c r="A688" s="28" t="inlineStr">
        <is>
          <t xml:space="preserve">            backend.clear_raw_block(blocks[spec.id], spec)</t>
        </is>
      </c>
    </row>
    <row r="689">
      <c r="A689" s="28" t="inlineStr">
        <is>
          <t xml:space="preserve">    for spec in cfg.series:</t>
        </is>
      </c>
    </row>
    <row r="690">
      <c r="A690" s="28" t="inlineStr">
        <is>
          <t xml:space="preserve">        if spec.lane == "watchlist":</t>
        </is>
      </c>
    </row>
    <row r="691">
      <c r="A691" s="28" t="inlineStr">
        <is>
          <t xml:space="preserve">            continue                                  # gated lane is never fetched in v1</t>
        </is>
      </c>
    </row>
    <row r="692">
      <c r="A692" s="28" t="inlineStr">
        <is>
          <t xml:space="preserve">        try:</t>
        </is>
      </c>
    </row>
    <row r="693">
      <c r="A693" s="28" t="inlineStr">
        <is>
          <t xml:space="preserve">            rows = provider.fetch_series(spec)</t>
        </is>
      </c>
    </row>
    <row r="694">
      <c r="A694" s="28" t="inlineStr">
        <is>
          <t xml:space="preserve">        except Exception as exc:</t>
        </is>
      </c>
    </row>
    <row r="695">
      <c r="A695" s="28" t="inlineStr">
        <is>
          <t xml:space="preserve">            errors.append(f"{spec.id}: {exc}")</t>
        </is>
      </c>
    </row>
    <row r="696">
      <c r="A696" s="28" t="inlineStr">
        <is>
          <t xml:space="preserve">            continue</t>
        </is>
      </c>
    </row>
    <row r="697">
      <c r="A697" s="28" t="inlineStr">
        <is>
          <t xml:space="preserve">        series_rows[spec.id] = rows</t>
        </is>
      </c>
    </row>
    <row r="698">
      <c r="A698" s="28" t="inlineStr">
        <is>
          <t xml:space="preserve">        backend.write_raw_block(blocks[spec.id], spec, rows)</t>
        </is>
      </c>
    </row>
    <row r="699">
      <c r="A699" s="28" t="inlineStr">
        <is>
          <t xml:space="preserve">        pulled += 1</t>
        </is>
      </c>
    </row>
    <row r="700">
      <c r="A700" s="28" t="inlineStr"/>
    </row>
    <row r="701">
      <c r="A701" s="28" t="inlineStr">
        <is>
          <t xml:space="preserve">    digest = compute_digest(cfg, series_rows)</t>
        </is>
      </c>
    </row>
    <row r="702">
      <c r="A702" s="28" t="inlineStr">
        <is>
          <t xml:space="preserve">    status = {</t>
        </is>
      </c>
    </row>
    <row r="703">
      <c r="A703" s="28" t="inlineStr">
        <is>
          <t xml:space="preserve">        "timestamp": asof.isoformat(),</t>
        </is>
      </c>
    </row>
    <row r="704">
      <c r="A704" s="28" t="inlineStr">
        <is>
          <t xml:space="preserve">        "mode": mode,</t>
        </is>
      </c>
    </row>
    <row r="705">
      <c r="A705" s="28" t="inlineStr">
        <is>
          <t xml:space="preserve">        "series_in_dict": len(cfg.series),</t>
        </is>
      </c>
    </row>
    <row r="706">
      <c r="A706" s="28" t="inlineStr">
        <is>
          <t xml:space="preserve">        "series_pulled": pulled,</t>
        </is>
      </c>
    </row>
    <row r="707">
      <c r="A707" s="28" t="inlineStr">
        <is>
          <t xml:space="preserve">        "alert_count": sum(1 for d in digest if d["status"] == "ALERT"),</t>
        </is>
      </c>
    </row>
    <row r="708">
      <c r="A708" s="28" t="inlineStr">
        <is>
          <t xml:space="preserve">        "watch_count": sum(1 for d in digest if d["status"] == "WATCH"),</t>
        </is>
      </c>
    </row>
    <row r="709">
      <c r="A709" s="28" t="inlineStr">
        <is>
          <t xml:space="preserve">        "digest": digest,</t>
        </is>
      </c>
    </row>
    <row r="710">
      <c r="A710" s="28" t="inlineStr">
        <is>
          <t xml:space="preserve">        "watchlist_refusals": [m for _, m in refusals],</t>
        </is>
      </c>
    </row>
    <row r="711">
      <c r="A711" s="28" t="inlineStr">
        <is>
          <t xml:space="preserve">        "watchlist_admitted": [s.id for s in admitted],</t>
        </is>
      </c>
    </row>
    <row r="712">
      <c r="A712" s="28" t="inlineStr">
        <is>
          <t xml:space="preserve">        "errors": errors[:25],</t>
        </is>
      </c>
    </row>
    <row r="713">
      <c r="A713" s="28" t="inlineStr">
        <is>
          <t xml:space="preserve">    }</t>
        </is>
      </c>
    </row>
    <row r="714">
      <c r="A714" s="28" t="inlineStr">
        <is>
          <t xml:space="preserve">    backend.write_status(status)</t>
        </is>
      </c>
    </row>
    <row r="715">
      <c r="A715" s="28" t="inlineStr">
        <is>
          <t xml:space="preserve">    backend.finalize()</t>
        </is>
      </c>
    </row>
    <row r="716">
      <c r="A716" s="28" t="inlineStr">
        <is>
          <t xml:space="preserve">    return status</t>
        </is>
      </c>
    </row>
    <row r="717">
      <c r="A717" s="28" t="inlineStr"/>
    </row>
    <row r="718">
      <c r="A718" s="28" t="inlineStr"/>
    </row>
    <row r="719">
      <c r="A719" s="28" t="inlineStr">
        <is>
          <t>def main(argv: Optional[Sequence[str]] = None) -&gt; int:</t>
        </is>
      </c>
    </row>
    <row r="720">
      <c r="A720" s="28" t="inlineStr">
        <is>
          <t xml:space="preserve">    ap = argparse.ArgumentParser(description="Consumer Credit-Risk Monitor runner")</t>
        </is>
      </c>
    </row>
    <row r="721">
      <c r="A721" s="28" t="inlineStr">
        <is>
          <t xml:space="preserve">    ap.add_argument("--workbook", "-w", required=True)</t>
        </is>
      </c>
    </row>
    <row r="722">
      <c r="A722" s="28" t="inlineStr">
        <is>
          <t xml:space="preserve">    ap.add_argument("--demo", action="store_true",</t>
        </is>
      </c>
    </row>
    <row r="723">
      <c r="A723" s="28" t="inlineStr">
        <is>
          <t xml:space="preserve">                    help="deterministic offline HhdcDemoProvider (no network/key)")</t>
        </is>
      </c>
    </row>
    <row r="724">
      <c r="A724" s="28" t="inlineStr">
        <is>
          <t xml:space="preserve">    ap.add_argument("--asof", default=None, help="YYYY-MM-DD (testing)")</t>
        </is>
      </c>
    </row>
    <row r="725">
      <c r="A725" s="28" t="inlineStr">
        <is>
          <t xml:space="preserve">    args = ap.parse_args(argv)</t>
        </is>
      </c>
    </row>
    <row r="726">
      <c r="A726" s="28" t="inlineStr">
        <is>
          <t xml:space="preserve">    asof = datetime.strptime(args.asof, "%Y-%m-%d").date() if args.asof else None</t>
        </is>
      </c>
    </row>
    <row r="727">
      <c r="A727" s="28" t="inlineStr">
        <is>
          <t xml:space="preserve">    try:</t>
        </is>
      </c>
    </row>
    <row r="728">
      <c r="A728" s="28" t="inlineStr">
        <is>
          <t xml:space="preserve">        status = run(args.workbook, demo=args.demo, asof=asof)</t>
        </is>
      </c>
    </row>
    <row r="729">
      <c r="A729" s="28" t="inlineStr">
        <is>
          <t xml:space="preserve">    except (WatchlistRefused, TransformError) as exc:</t>
        </is>
      </c>
    </row>
    <row r="730">
      <c r="A730" s="28" t="inlineStr">
        <is>
          <t xml:space="preserve">        sys.stderr.write(f"GATE ERROR: {exc}\n")</t>
        </is>
      </c>
    </row>
    <row r="731">
      <c r="A731" s="28" t="inlineStr">
        <is>
          <t xml:space="preserve">        print(json.dumps({"ok": False, "error": str(exc)}))</t>
        </is>
      </c>
    </row>
    <row r="732">
      <c r="A732" s="28" t="inlineStr">
        <is>
          <t xml:space="preserve">        return 2</t>
        </is>
      </c>
    </row>
    <row r="733">
      <c r="A733" s="28" t="inlineStr">
        <is>
          <t xml:space="preserve">    except SystemExit as exc:</t>
        </is>
      </c>
    </row>
    <row r="734">
      <c r="A734" s="28" t="inlineStr">
        <is>
          <t xml:space="preserve">        sys.stderr.write(f"{exc}\n")</t>
        </is>
      </c>
    </row>
    <row r="735">
      <c r="A735" s="28" t="inlineStr">
        <is>
          <t xml:space="preserve">        print(json.dumps({"ok": False, "error": str(exc)}))</t>
        </is>
      </c>
    </row>
    <row r="736">
      <c r="A736" s="28" t="inlineStr">
        <is>
          <t xml:space="preserve">        return 3</t>
        </is>
      </c>
    </row>
    <row r="737">
      <c r="A737" s="28" t="inlineStr">
        <is>
          <t xml:space="preserve">    except Exception as exc:</t>
        </is>
      </c>
    </row>
    <row r="738">
      <c r="A738" s="28" t="inlineStr">
        <is>
          <t xml:space="preserve">        sys.stderr.write(f"RUN ERROR: {exc}\n")</t>
        </is>
      </c>
    </row>
    <row r="739">
      <c r="A739" s="28" t="inlineStr">
        <is>
          <t xml:space="preserve">        print(json.dumps({"ok": False, "error": str(exc)}))</t>
        </is>
      </c>
    </row>
    <row r="740">
      <c r="A740" s="28" t="inlineStr">
        <is>
          <t xml:space="preserve">        return 1</t>
        </is>
      </c>
    </row>
    <row r="741">
      <c r="A741" s="28" t="inlineStr">
        <is>
          <t xml:space="preserve">    print(json.dumps({"ok": True, **{k: v for k, v in status.items() if k != "digest"}}))</t>
        </is>
      </c>
    </row>
    <row r="742">
      <c r="A742" s="28" t="inlineStr">
        <is>
          <t xml:space="preserve">    sys.stderr.write(</t>
        </is>
      </c>
    </row>
    <row r="743">
      <c r="A743" s="28" t="inlineStr">
        <is>
          <t xml:space="preserve">        f"OK ({status['mode']}): {status['series_pulled']}/{status['series_in_dict']} series, "</t>
        </is>
      </c>
    </row>
    <row r="744">
      <c r="A744" s="28" t="inlineStr">
        <is>
          <t xml:space="preserve">        f"{status['alert_count']} ALERT, {status['watch_count']} WATCH, "</t>
        </is>
      </c>
    </row>
    <row r="745">
      <c r="A745" s="28" t="inlineStr">
        <is>
          <t xml:space="preserve">        f"watchlist admitted={len(status['watchlist_admitted'])} "</t>
        </is>
      </c>
    </row>
    <row r="746">
      <c r="A746" s="28" t="inlineStr">
        <is>
          <t xml:space="preserve">        f"refused={len(status['watchlist_refusals'])}.\n")</t>
        </is>
      </c>
    </row>
    <row r="747">
      <c r="A747" s="28" t="inlineStr">
        <is>
          <t xml:space="preserve">    return 0</t>
        </is>
      </c>
    </row>
    <row r="748">
      <c r="A748" s="28" t="inlineStr"/>
    </row>
    <row r="749">
      <c r="A749" s="28" t="inlineStr"/>
    </row>
    <row r="750">
      <c r="A750" s="28" t="inlineStr">
        <is>
          <t>if __name__ == "__main__":</t>
        </is>
      </c>
    </row>
    <row r="751">
      <c r="A751" s="28" t="inlineStr">
        <is>
          <t xml:space="preserve">    raise SystemExit(main())</t>
        </is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A167"/>
  <sheetViews>
    <sheetView showGridLines="0" workbookViewId="0">
      <selection activeCell="A1" sqref="A1"/>
    </sheetView>
  </sheetViews>
  <sheetFormatPr baseColWidth="8" defaultRowHeight="15"/>
  <cols>
    <col width="120" customWidth="1" min="1" max="1"/>
  </cols>
  <sheetData>
    <row r="1">
      <c r="A1" s="28" t="inlineStr">
        <is>
          <t>'================================================================================</t>
        </is>
      </c>
    </row>
    <row r="2">
      <c r="A2" s="28" t="inlineStr">
        <is>
          <t>' Consumer Credit-Risk Monitor (bureau feed) -- extractor macro</t>
        </is>
      </c>
    </row>
    <row r="3">
      <c r="A3" s="28" t="inlineStr">
        <is>
          <t>' (BUILD_SPEC_BUREAU.md Section 5: EXTRACT-ONLY).</t>
        </is>
      </c>
    </row>
    <row r="4">
      <c r="A4" s="28" t="inlineStr">
        <is>
          <t>'</t>
        </is>
      </c>
    </row>
    <row r="5">
      <c r="A5" s="28" t="inlineStr">
        <is>
          <t>' The workbook is already the finished product: every dashboard, formula, KPI</t>
        </is>
      </c>
    </row>
    <row r="6">
      <c r="A6" s="28" t="inlineStr">
        <is>
          <t>' tile and heat rule is built in. The data is the only thing missing.</t>
        </is>
      </c>
    </row>
    <row r="7">
      <c r="A7" s="28" t="inlineStr">
        <is>
          <t>'</t>
        </is>
      </c>
    </row>
    <row r="8">
      <c r="A8" s="28" t="inlineStr">
        <is>
          <t>' "Extract" (run ExtractFiles, or the ExtractAndRun alias, via Alt+F8):</t>
        </is>
      </c>
    </row>
    <row r="9">
      <c r="A9" s="28" t="inlineStr">
        <is>
          <t>'   1. Writes runner.py from the _code_py tab into the workbook's folder.</t>
        </is>
      </c>
    </row>
    <row r="10">
      <c r="A10" s="28" t="inlineStr">
        <is>
          <t>'   2. Writes requirements.txt (the Python dependencies).</t>
        </is>
      </c>
    </row>
    <row r="11">
      <c r="A11" s="28" t="inlineStr">
        <is>
          <t>'   3. Writes RUN.txt (the exact PowerShell commands).</t>
        </is>
      </c>
    </row>
    <row r="12">
      <c r="A12" s="28" t="inlineStr">
        <is>
          <t>'</t>
        </is>
      </c>
    </row>
    <row r="13">
      <c r="A13" s="28" t="inlineStr">
        <is>
          <t>' NOTHING runs inside Excel (no shell-out, no xlwings, no save-from-VBA). After</t>
        </is>
      </c>
    </row>
    <row r="14">
      <c r="A14" s="28" t="inlineStr">
        <is>
          <t>' extracting: SAVE and CLOSE the workbook, then follow RUN.txt from PowerShell.</t>
        </is>
      </c>
    </row>
    <row r="15">
      <c r="A15" s="28" t="inlineStr">
        <is>
          <t>' runner.py writes the data into the CLOSED workbook via openpyxl. Reopen and the</t>
        </is>
      </c>
    </row>
    <row r="16">
      <c r="A16" s="28" t="inlineStr">
        <is>
          <t>' formulas recalc into the finished dashboards.</t>
        </is>
      </c>
    </row>
    <row r="17">
      <c r="A17" s="28" t="inlineStr">
        <is>
          <t>'</t>
        </is>
      </c>
    </row>
    <row r="18">
      <c r="A18" s="28" t="inlineStr">
        <is>
          <t>' This is a readable/portable reference copy; the identical text lives in the</t>
        </is>
      </c>
    </row>
    <row r="19">
      <c r="A19" s="28" t="inlineStr">
        <is>
          <t>' _code_vba tab so the workbook stays the single source of truth.</t>
        </is>
      </c>
    </row>
    <row r="20">
      <c r="A20" s="28" t="inlineStr">
        <is>
          <t>'================================================================================</t>
        </is>
      </c>
    </row>
    <row r="21">
      <c r="A21" s="28" t="inlineStr">
        <is>
          <t>Option Explicit</t>
        </is>
      </c>
    </row>
    <row r="22">
      <c r="A22" s="28" t="inlineStr"/>
    </row>
    <row r="23">
      <c r="A23" s="28" t="inlineStr">
        <is>
          <t>Private Const STATUS_SHEET As String = "Dashboard_Balances"</t>
        </is>
      </c>
    </row>
    <row r="24">
      <c r="A24" s="28" t="inlineStr"/>
    </row>
    <row r="25">
      <c r="A25" s="28" t="inlineStr">
        <is>
          <t>' Kept as an alias so the old name / any assigned button still works.</t>
        </is>
      </c>
    </row>
    <row r="26">
      <c r="A26" s="28" t="inlineStr">
        <is>
          <t>Public Sub ExtractAndRun()</t>
        </is>
      </c>
    </row>
    <row r="27">
      <c r="A27" s="28" t="inlineStr">
        <is>
          <t xml:space="preserve">    ExtractFiles</t>
        </is>
      </c>
    </row>
    <row r="28">
      <c r="A28" s="28" t="inlineStr">
        <is>
          <t>End Sub</t>
        </is>
      </c>
    </row>
    <row r="29">
      <c r="A29" s="28" t="inlineStr"/>
    </row>
    <row r="30">
      <c r="A30" s="28" t="inlineStr">
        <is>
          <t>Public Sub ExtractFiles()</t>
        </is>
      </c>
    </row>
    <row r="31">
      <c r="A31" s="28" t="inlineStr">
        <is>
          <t xml:space="preserve">    Dim folder As String, sep As String</t>
        </is>
      </c>
    </row>
    <row r="32">
      <c r="A32" s="28" t="inlineStr">
        <is>
          <t xml:space="preserve">    On Error GoTo Fail</t>
        </is>
      </c>
    </row>
    <row r="33">
      <c r="A33" s="28" t="inlineStr"/>
    </row>
    <row r="34">
      <c r="A34" s="28" t="inlineStr">
        <is>
          <t xml:space="preserve">    folder = ThisWorkbook.Path</t>
        </is>
      </c>
    </row>
    <row r="35">
      <c r="A35" s="28" t="inlineStr">
        <is>
          <t xml:space="preserve">    If Len(folder) = 0 Then</t>
        </is>
      </c>
    </row>
    <row r="36">
      <c r="A36" s="28" t="inlineStr">
        <is>
          <t xml:space="preserve">        MsgBox "Save the workbook to a folder first, then run ExtractFiles.", vbExclamation</t>
        </is>
      </c>
    </row>
    <row r="37">
      <c r="A37" s="28" t="inlineStr">
        <is>
          <t xml:space="preserve">        Exit Sub</t>
        </is>
      </c>
    </row>
    <row r="38">
      <c r="A38" s="28" t="inlineStr">
        <is>
          <t xml:space="preserve">    End If</t>
        </is>
      </c>
    </row>
    <row r="39">
      <c r="A39" s="28" t="inlineStr">
        <is>
          <t xml:space="preserve">    sep = Application.PathSeparator</t>
        </is>
      </c>
    </row>
    <row r="40">
      <c r="A40" s="28" t="inlineStr"/>
    </row>
    <row r="41">
      <c r="A41" s="28" t="inlineStr">
        <is>
          <t xml:space="preserve">    WriteTabToFile "_code_py", folder &amp; sep &amp; "runner.py"          ' the data-path script</t>
        </is>
      </c>
    </row>
    <row r="42">
      <c r="A42" s="28" t="inlineStr">
        <is>
          <t xml:space="preserve">    WriteTextFile folder &amp; sep &amp; "requirements.txt", RequirementsText()</t>
        </is>
      </c>
    </row>
    <row r="43">
      <c r="A43" s="28" t="inlineStr">
        <is>
          <t xml:space="preserve">    WriteTextFile folder &amp; sep &amp; "RUN.txt", RunText()             ' the PowerShell commands</t>
        </is>
      </c>
    </row>
    <row r="44">
      <c r="A44" s="28" t="inlineStr"/>
    </row>
    <row r="45">
      <c r="A45" s="28" t="inlineStr">
        <is>
          <t xml:space="preserve">    SetStatus "Extracted", "runner.py + requirements.txt + RUN.txt written -- see RUN.txt."</t>
        </is>
      </c>
    </row>
    <row r="46">
      <c r="A46" s="28" t="inlineStr">
        <is>
          <t xml:space="preserve">    MsgBox "Extracted next to this workbook:" &amp; vbCrLf &amp; _</t>
        </is>
      </c>
    </row>
    <row r="47">
      <c r="A47" s="28" t="inlineStr">
        <is>
          <t xml:space="preserve">           "    runner.py" &amp; vbCrLf &amp; _</t>
        </is>
      </c>
    </row>
    <row r="48">
      <c r="A48" s="28" t="inlineStr">
        <is>
          <t xml:space="preserve">           "    requirements.txt" &amp; vbCrLf &amp; _</t>
        </is>
      </c>
    </row>
    <row r="49">
      <c r="A49" s="28" t="inlineStr">
        <is>
          <t xml:space="preserve">           "    RUN.txt   (the PowerShell commands)" &amp; vbCrLf &amp; vbCrLf &amp; _</t>
        </is>
      </c>
    </row>
    <row r="50">
      <c r="A50" s="28" t="inlineStr">
        <is>
          <t xml:space="preserve">           "Open RUN.txt and follow it: install the deps, then run runner.py from " &amp; _</t>
        </is>
      </c>
    </row>
    <row r="51">
      <c r="A51" s="28" t="inlineStr">
        <is>
          <t xml:space="preserve">           "PowerShell with this workbook CLOSED. Reopen to see the dashboards." &amp; vbCrLf &amp; vbCrLf &amp; _</t>
        </is>
      </c>
    </row>
    <row r="52">
      <c r="A52" s="28" t="inlineStr">
        <is>
          <t xml:space="preserve">           "Just trying it out? Use the --demo command in RUN.txt (offline, no key).", _</t>
        </is>
      </c>
    </row>
    <row r="53">
      <c r="A53" s="28" t="inlineStr">
        <is>
          <t xml:space="preserve">           vbInformation, "Extract complete"</t>
        </is>
      </c>
    </row>
    <row r="54">
      <c r="A54" s="28" t="inlineStr">
        <is>
          <t xml:space="preserve">    Exit Sub</t>
        </is>
      </c>
    </row>
    <row r="55">
      <c r="A55" s="28" t="inlineStr"/>
    </row>
    <row r="56">
      <c r="A56" s="28" t="inlineStr">
        <is>
          <t>Fail:</t>
        </is>
      </c>
    </row>
    <row r="57">
      <c r="A57" s="28" t="inlineStr">
        <is>
          <t xml:space="preserve">    MsgBox "Extract failed: " &amp; Err.Description, vbCritical</t>
        </is>
      </c>
    </row>
    <row r="58">
      <c r="A58" s="28" t="inlineStr">
        <is>
          <t>End Sub</t>
        </is>
      </c>
    </row>
    <row r="59">
      <c r="A59" s="28" t="inlineStr"/>
    </row>
    <row r="60">
      <c r="A60" s="28" t="inlineStr">
        <is>
          <t>Private Function RequirementsText() As String</t>
        </is>
      </c>
    </row>
    <row r="61">
      <c r="A61" s="28" t="inlineStr">
        <is>
          <t xml:space="preserve">    Dim nl As String</t>
        </is>
      </c>
    </row>
    <row r="62">
      <c r="A62" s="28" t="inlineStr">
        <is>
          <t xml:space="preserve">    nl = vbCrLf</t>
        </is>
      </c>
    </row>
    <row r="63">
      <c r="A63" s="28" t="inlineStr">
        <is>
          <t xml:space="preserve">    RequirementsText = "pandas&gt;=1.5" &amp; nl &amp; "openpyxl&gt;=3.0" &amp; nl</t>
        </is>
      </c>
    </row>
    <row r="64">
      <c r="A64" s="28" t="inlineStr">
        <is>
          <t>End Function</t>
        </is>
      </c>
    </row>
    <row r="65">
      <c r="A65" s="28" t="inlineStr"/>
    </row>
    <row r="66">
      <c r="A66" s="28" t="inlineStr">
        <is>
          <t>Private Function RunText() As String</t>
        </is>
      </c>
    </row>
    <row r="67">
      <c r="A67" s="28" t="inlineStr">
        <is>
          <t xml:space="preserve">    Dim nl As String, q As String, wb As String</t>
        </is>
      </c>
    </row>
    <row r="68">
      <c r="A68" s="28" t="inlineStr">
        <is>
          <t xml:space="preserve">    nl = vbCrLf</t>
        </is>
      </c>
    </row>
    <row r="69">
      <c r="A69" s="28" t="inlineStr">
        <is>
          <t xml:space="preserve">    q = Chr(34)</t>
        </is>
      </c>
    </row>
    <row r="70">
      <c r="A70" s="28" t="inlineStr">
        <is>
          <t xml:space="preserve">    wb = ThisWorkbook.Name</t>
        </is>
      </c>
    </row>
    <row r="71">
      <c r="A71" s="28" t="inlineStr">
        <is>
          <t xml:space="preserve">    RunText = _</t>
        </is>
      </c>
    </row>
    <row r="72">
      <c r="A72" s="28" t="inlineStr">
        <is>
          <t xml:space="preserve">        "Consumer Credit-Risk Monitor -- run from PowerShell (workbook must be CLOSED)" &amp; nl &amp; nl &amp; _</t>
        </is>
      </c>
    </row>
    <row r="73">
      <c r="A73" s="28" t="inlineStr">
        <is>
          <t xml:space="preserve">        "1) Install dependencies (once):" &amp; nl &amp; _</t>
        </is>
      </c>
    </row>
    <row r="74">
      <c r="A74" s="28" t="inlineStr">
        <is>
          <t xml:space="preserve">        "   python -m pip install -r requirements.txt" &amp; nl &amp; nl &amp; _</t>
        </is>
      </c>
    </row>
    <row r="75">
      <c r="A75" s="28" t="inlineStr">
        <is>
          <t xml:space="preserve">        "2) Try-the-button demo data (offline, no key):" &amp; nl &amp; _</t>
        </is>
      </c>
    </row>
    <row r="76">
      <c r="A76" s="28" t="inlineStr">
        <is>
          <t xml:space="preserve">        "   python .\runner.py --workbook " &amp; q &amp; ".\" &amp; wb &amp; q &amp; " --demo" &amp; nl &amp; nl &amp; _</t>
        </is>
      </c>
    </row>
    <row r="77">
      <c r="A77" s="28" t="inlineStr">
        <is>
          <t xml:space="preserve">        "3) Live data (downloads the NY Fed HHDC public tables):" &amp; nl &amp; _</t>
        </is>
      </c>
    </row>
    <row r="78">
      <c r="A78" s="28" t="inlineStr">
        <is>
          <t xml:space="preserve">        "   python .\runner.py --workbook " &amp; q &amp; ".\" &amp; wb &amp; q &amp; nl &amp; nl &amp; _</t>
        </is>
      </c>
    </row>
    <row r="79">
      <c r="A79" s="28" t="inlineStr">
        <is>
          <t xml:space="preserve">        "A licensed (Class C) feed is a v2 swap; it reads its secret from the env " &amp; _</t>
        </is>
      </c>
    </row>
    <row r="80">
      <c r="A80" s="28" t="inlineStr">
        <is>
          <t xml:space="preserve">        "var NAMED in _config (secret_env) -- never hardcoded. Absent var = fail fast." &amp; nl &amp; nl &amp; _</t>
        </is>
      </c>
    </row>
    <row r="81">
      <c r="A81" s="28" t="inlineStr">
        <is>
          <t xml:space="preserve">        "If 'python' is not found, use 'py' instead. Reopen the workbook afterward." &amp; nl</t>
        </is>
      </c>
    </row>
    <row r="82">
      <c r="A82" s="28" t="inlineStr">
        <is>
          <t>End Function</t>
        </is>
      </c>
    </row>
    <row r="83">
      <c r="A83" s="28" t="inlineStr"/>
    </row>
    <row r="84">
      <c r="A84" s="28" t="inlineStr">
        <is>
          <t>Private Sub WriteTextFile(filePath As String, content As String)</t>
        </is>
      </c>
    </row>
    <row r="85">
      <c r="A85" s="28" t="inlineStr">
        <is>
          <t xml:space="preserve">    Dim fso As Object, ts As Object</t>
        </is>
      </c>
    </row>
    <row r="86">
      <c r="A86" s="28" t="inlineStr">
        <is>
          <t xml:space="preserve">    Set fso = CreateObject("Scripting.FileSystemObject")</t>
        </is>
      </c>
    </row>
    <row r="87">
      <c r="A87" s="28" t="inlineStr">
        <is>
          <t xml:space="preserve">    Set ts = fso.CreateTextFile(filePath, True, False)</t>
        </is>
      </c>
    </row>
    <row r="88">
      <c r="A88" s="28" t="inlineStr">
        <is>
          <t xml:space="preserve">    ts.Write content</t>
        </is>
      </c>
    </row>
    <row r="89">
      <c r="A89" s="28" t="inlineStr">
        <is>
          <t xml:space="preserve">    ts.Close</t>
        </is>
      </c>
    </row>
    <row r="90">
      <c r="A90" s="28" t="inlineStr">
        <is>
          <t>End Sub</t>
        </is>
      </c>
    </row>
    <row r="91">
      <c r="A91" s="28" t="inlineStr"/>
    </row>
    <row r="92">
      <c r="A92" s="28" t="inlineStr">
        <is>
          <t>' Write one tab's column A (one source line per cell) to a UTF-8 text file.</t>
        </is>
      </c>
    </row>
    <row r="93">
      <c r="A93" s="28" t="inlineStr">
        <is>
          <t>' ADODB.Stream writes real UTF-8 (FSO would write ANSI, and Python, which reads</t>
        </is>
      </c>
    </row>
    <row r="94">
      <c r="A94" s="28" t="inlineStr">
        <is>
          <t>' source as UTF-8, would raise SyntaxError on any non-ASCII byte).</t>
        </is>
      </c>
    </row>
    <row r="95">
      <c r="A95" s="28" t="inlineStr">
        <is>
          <t>Private Sub WriteTabToFile(tabName As String, filePath As String)</t>
        </is>
      </c>
    </row>
    <row r="96">
      <c r="A96" s="28" t="inlineStr">
        <is>
          <t xml:space="preserve">    Dim ws As Worksheet, lastRow As Long, r As Long, body As String</t>
        </is>
      </c>
    </row>
    <row r="97">
      <c r="A97" s="28" t="inlineStr">
        <is>
          <t xml:space="preserve">    Set ws = ThisWorkbook.Worksheets(tabName)</t>
        </is>
      </c>
    </row>
    <row r="98">
      <c r="A98" s="28" t="inlineStr">
        <is>
          <t xml:space="preserve">    lastRow = ws.Cells(ws.Rows.Count, 1).End(xlUp).Row</t>
        </is>
      </c>
    </row>
    <row r="99">
      <c r="A99" s="28" t="inlineStr">
        <is>
          <t xml:space="preserve">    For r = 1 To lastRow</t>
        </is>
      </c>
    </row>
    <row r="100">
      <c r="A100" s="28" t="inlineStr">
        <is>
          <t xml:space="preserve">        body = body &amp; CStr(ws.Cells(r, 1).Value) &amp; vbLf</t>
        </is>
      </c>
    </row>
    <row r="101">
      <c r="A101" s="28" t="inlineStr">
        <is>
          <t xml:space="preserve">    Next r</t>
        </is>
      </c>
    </row>
    <row r="102">
      <c r="A102" s="28" t="inlineStr">
        <is>
          <t xml:space="preserve">    Dim stm As Object</t>
        </is>
      </c>
    </row>
    <row r="103">
      <c r="A103" s="28" t="inlineStr">
        <is>
          <t xml:space="preserve">    Set stm = CreateObject("ADODB.Stream")</t>
        </is>
      </c>
    </row>
    <row r="104">
      <c r="A104" s="28" t="inlineStr">
        <is>
          <t xml:space="preserve">    stm.Type = 2                 ' adTypeText</t>
        </is>
      </c>
    </row>
    <row r="105">
      <c r="A105" s="28" t="inlineStr">
        <is>
          <t xml:space="preserve">    stm.Charset = "utf-8"</t>
        </is>
      </c>
    </row>
    <row r="106">
      <c r="A106" s="28" t="inlineStr">
        <is>
          <t xml:space="preserve">    stm.Open</t>
        </is>
      </c>
    </row>
    <row r="107">
      <c r="A107" s="28" t="inlineStr">
        <is>
          <t xml:space="preserve">    stm.WriteText body</t>
        </is>
      </c>
    </row>
    <row r="108">
      <c r="A108" s="28" t="inlineStr">
        <is>
          <t xml:space="preserve">    stm.SaveToFile filePath, 2   ' adSaveCreateOverWrite</t>
        </is>
      </c>
    </row>
    <row r="109">
      <c r="A109" s="28" t="inlineStr">
        <is>
          <t xml:space="preserve">    stm.Close</t>
        </is>
      </c>
    </row>
    <row r="110">
      <c r="A110" s="28" t="inlineStr">
        <is>
          <t>End Sub</t>
        </is>
      </c>
    </row>
    <row r="111">
      <c r="A111" s="28" t="inlineStr"/>
    </row>
    <row r="112">
      <c r="A112" s="28" t="inlineStr">
        <is>
          <t>Private Sub SetStatus(state As String, msg As String)</t>
        </is>
      </c>
    </row>
    <row r="113">
      <c r="A113" s="28" t="inlineStr">
        <is>
          <t xml:space="preserve">    Dim ws As Worksheet</t>
        </is>
      </c>
    </row>
    <row r="114">
      <c r="A114" s="28" t="inlineStr">
        <is>
          <t xml:space="preserve">    On Error Resume Next</t>
        </is>
      </c>
    </row>
    <row r="115">
      <c r="A115" s="28" t="inlineStr">
        <is>
          <t xml:space="preserve">    Set ws = ThisWorkbook.Worksheets(STATUS_SHEET)</t>
        </is>
      </c>
    </row>
    <row r="116">
      <c r="A116" s="28" t="inlineStr">
        <is>
          <t xml:space="preserve">    If ws Is Nothing Then Exit Sub</t>
        </is>
      </c>
    </row>
    <row r="117">
      <c r="A117" s="28" t="inlineStr">
        <is>
          <t xml:space="preserve">    ' Column L (12), row 4 -- the masthead status panel (free of the merged</t>
        </is>
      </c>
    </row>
    <row r="118">
      <c r="A118" s="28" t="inlineStr">
        <is>
          <t xml:space="preserve">    ' banner/KPI cells the runner fills on rows 1-2).</t>
        </is>
      </c>
    </row>
    <row r="119">
      <c r="A119" s="28" t="inlineStr">
        <is>
          <t xml:space="preserve">    ws.Cells(4, 12).Value = state &amp; " -- " &amp; msg</t>
        </is>
      </c>
    </row>
    <row r="120">
      <c r="A120" s="28" t="inlineStr">
        <is>
          <t>End Sub</t>
        </is>
      </c>
    </row>
    <row r="121">
      <c r="A121" s="28" t="inlineStr"/>
    </row>
    <row r="122">
      <c r="A122" s="28" t="inlineStr">
        <is>
          <t>' OPTIONAL: after reopening the populated workbook, run this (Alt+F8 -&gt;</t>
        </is>
      </c>
    </row>
    <row r="123">
      <c r="A123" s="28" t="inlineStr">
        <is>
          <t>' PaintSparklines) to draw the Trend (8) sparklines. Native sparklines can't be</t>
        </is>
      </c>
    </row>
    <row r="124">
      <c r="A124" s="28" t="inlineStr">
        <is>
          <t>' written by openpyxl, so the data path leaves that one column empty; everything</t>
        </is>
      </c>
    </row>
    <row r="125">
      <c r="A125" s="28" t="inlineStr">
        <is>
          <t>' else renders from formulas with no macro. Guarded so it can never error out.</t>
        </is>
      </c>
    </row>
    <row r="126">
      <c r="A126" s="28" t="inlineStr">
        <is>
          <t>' All three dashboards read from the single Raw_HHDC tab.</t>
        </is>
      </c>
    </row>
    <row r="127">
      <c r="A127" s="28" t="inlineStr">
        <is>
          <t>Public Sub PaintSparklines()</t>
        </is>
      </c>
    </row>
    <row r="128">
      <c r="A128" s="28" t="inlineStr">
        <is>
          <t xml:space="preserve">    On Error Resume Next</t>
        </is>
      </c>
    </row>
    <row r="129">
      <c r="A129" s="28" t="inlineStr">
        <is>
          <t xml:space="preserve">    PaintLaneSparklines "Dashboard_Balances"</t>
        </is>
      </c>
    </row>
    <row r="130">
      <c r="A130" s="28" t="inlineStr">
        <is>
          <t xml:space="preserve">    PaintLaneSparklines "Dashboard_Delinquency"</t>
        </is>
      </c>
    </row>
    <row r="131">
      <c r="A131" s="28" t="inlineStr">
        <is>
          <t xml:space="preserve">    PaintLaneSparklines "Dashboard_Originations"</t>
        </is>
      </c>
    </row>
    <row r="132">
      <c r="A132" s="28" t="inlineStr">
        <is>
          <t xml:space="preserve">    MsgBox "Trend sparklines painted. Save the workbook to keep them.", vbInformation</t>
        </is>
      </c>
    </row>
    <row r="133">
      <c r="A133" s="28" t="inlineStr">
        <is>
          <t>End Sub</t>
        </is>
      </c>
    </row>
    <row r="134">
      <c r="A134" s="28" t="inlineStr"/>
    </row>
    <row r="135">
      <c r="A135" s="28" t="inlineStr">
        <is>
          <t>Private Sub PaintLaneSparklines(dashName As String)</t>
        </is>
      </c>
    </row>
    <row r="136">
      <c r="A136" s="28" t="inlineStr">
        <is>
          <t xml:space="preserve">    On Error Resume Next</t>
        </is>
      </c>
    </row>
    <row r="137">
      <c r="A137" s="28" t="inlineStr">
        <is>
          <t xml:space="preserve">    Const HDR As Long = 7          ' header band row; data begins at row 8</t>
        </is>
      </c>
    </row>
    <row r="138">
      <c r="A138" s="28" t="inlineStr">
        <is>
          <t xml:space="preserve">    Const SID_COL As Long = 2      ' Series ID column (B)</t>
        </is>
      </c>
    </row>
    <row r="139">
      <c r="A139" s="28" t="inlineStr">
        <is>
          <t xml:space="preserve">    Const SPK_COL As Long = 7      ' Trend (8) column (G)</t>
        </is>
      </c>
    </row>
    <row r="140">
      <c r="A140" s="28" t="inlineStr">
        <is>
          <t xml:space="preserve">    Const RAW_NAME As String = "Raw_HHDC"</t>
        </is>
      </c>
    </row>
    <row r="141">
      <c r="A141" s="28" t="inlineStr">
        <is>
          <t xml:space="preserve">    Dim dash As Worksheet, raw As Worksheet</t>
        </is>
      </c>
    </row>
    <row r="142">
      <c r="A142" s="28" t="inlineStr">
        <is>
          <t xml:space="preserve">    Set dash = ThisWorkbook.Worksheets(dashName)</t>
        </is>
      </c>
    </row>
    <row r="143">
      <c r="A143" s="28" t="inlineStr">
        <is>
          <t xml:space="preserve">    Set raw = ThisWorkbook.Worksheets(RAW_NAME)</t>
        </is>
      </c>
    </row>
    <row r="144">
      <c r="A144" s="28" t="inlineStr">
        <is>
          <t xml:space="preserve">    If dash Is Nothing Or raw Is Nothing Then Exit Sub</t>
        </is>
      </c>
    </row>
    <row r="145">
      <c r="A145" s="28" t="inlineStr">
        <is>
          <t xml:space="preserve">    Dim lastRow As Long, r As Long, sid As String, m As Variant, r0 As Long</t>
        </is>
      </c>
    </row>
    <row r="146">
      <c r="A146" s="28" t="inlineStr">
        <is>
          <t xml:space="preserve">    Dim src As String, addr As String</t>
        </is>
      </c>
    </row>
    <row r="147">
      <c r="A147" s="28" t="inlineStr">
        <is>
          <t xml:space="preserve">    lastRow = dash.Cells(dash.Rows.Count, SID_COL).End(xlUp).Row</t>
        </is>
      </c>
    </row>
    <row r="148">
      <c r="A148" s="28" t="inlineStr">
        <is>
          <t xml:space="preserve">    For r = HDR + 1 To lastRow</t>
        </is>
      </c>
    </row>
    <row r="149">
      <c r="A149" s="28" t="inlineStr">
        <is>
          <t xml:space="preserve">        sid = CStr(dash.Cells(r, SID_COL).Value)</t>
        </is>
      </c>
    </row>
    <row r="150">
      <c r="A150" s="28" t="inlineStr">
        <is>
          <t xml:space="preserve">        If Len(sid) &gt; 0 Then</t>
        </is>
      </c>
    </row>
    <row r="151">
      <c r="A151" s="28" t="inlineStr">
        <is>
          <t xml:space="preserve">            m = Application.Match(sid, raw.Columns(1), 0)</t>
        </is>
      </c>
    </row>
    <row r="152">
      <c r="A152" s="28" t="inlineStr">
        <is>
          <t xml:space="preserve">            If Not IsError(m) Then</t>
        </is>
      </c>
    </row>
    <row r="153">
      <c r="A153" s="28" t="inlineStr">
        <is>
          <t xml:space="preserve">                r0 = CLng(m) + 2                          ' first_data_row = header + 2</t>
        </is>
      </c>
    </row>
    <row r="154">
      <c r="A154" s="28" t="inlineStr">
        <is>
          <t xml:space="preserve">                src = "'" &amp; RAW_NAME &amp; "'!B" &amp; r0 &amp; ":B" &amp; (r0 + 7)</t>
        </is>
      </c>
    </row>
    <row r="155">
      <c r="A155" s="28" t="inlineStr">
        <is>
          <t xml:space="preserve">                addr = dash.Cells(r, SPK_COL).Address(False, False)</t>
        </is>
      </c>
    </row>
    <row r="156">
      <c r="A156" s="28" t="inlineStr">
        <is>
          <t xml:space="preserve">                dash.Range(addr).SparklineGroups.Clear</t>
        </is>
      </c>
    </row>
    <row r="157">
      <c r="A157" s="28" t="inlineStr">
        <is>
          <t xml:space="preserve">                dash.Range(addr).SparklineGroups.Add Type:=xlSparkLine, SourceData:=src</t>
        </is>
      </c>
    </row>
    <row r="158">
      <c r="A158" s="28" t="inlineStr">
        <is>
          <t xml:space="preserve">                With dash.Range(addr).SparklineGroups.Item(1)</t>
        </is>
      </c>
    </row>
    <row r="159">
      <c r="A159" s="28" t="inlineStr">
        <is>
          <t xml:space="preserve">                    .SeriesColor.Color = RGB(87, 83, 75)         ' SLATE line</t>
        </is>
      </c>
    </row>
    <row r="160">
      <c r="A160" s="28" t="inlineStr">
        <is>
          <t xml:space="preserve">                    .Points.Markers.Visible = False</t>
        </is>
      </c>
    </row>
    <row r="161">
      <c r="A161" s="28" t="inlineStr">
        <is>
          <t xml:space="preserve">                    .Points.Firstpoint.Visible = True            ' newest is leftmost</t>
        </is>
      </c>
    </row>
    <row r="162">
      <c r="A162" s="28" t="inlineStr">
        <is>
          <t xml:space="preserve">                    .Points.Firstpoint.Color.Color = RGB(204, 0, 0)   ' KEY_RED</t>
        </is>
      </c>
    </row>
    <row r="163">
      <c r="A163" s="28" t="inlineStr">
        <is>
          <t xml:space="preserve">                End With</t>
        </is>
      </c>
    </row>
    <row r="164">
      <c r="A164" s="28" t="inlineStr">
        <is>
          <t xml:space="preserve">            End If</t>
        </is>
      </c>
    </row>
    <row r="165">
      <c r="A165" s="28" t="inlineStr">
        <is>
          <t xml:space="preserve">        End If</t>
        </is>
      </c>
    </row>
    <row r="166">
      <c r="A166" s="28" t="inlineStr">
        <is>
          <t xml:space="preserve">    Next r</t>
        </is>
      </c>
    </row>
    <row r="167">
      <c r="A167" s="28" t="inlineStr">
        <is>
          <t>End Sub</t>
        </is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A85"/>
  <sheetViews>
    <sheetView showGridLines="0" workbookViewId="0">
      <selection activeCell="A1" sqref="A1"/>
    </sheetView>
  </sheetViews>
  <sheetFormatPr baseColWidth="8" defaultRowHeight="15"/>
  <cols>
    <col width="100" customWidth="1" min="1" max="1"/>
  </cols>
  <sheetData>
    <row r="1">
      <c r="A1" s="25" t="inlineStr">
        <is>
          <t>CONSUMER CREDIT-RISK MONITOR (BUREAU FEED) -- README</t>
        </is>
      </c>
    </row>
    <row r="2">
      <c r="A2" t="inlineStr">
        <is>
          <t>====================================================</t>
        </is>
      </c>
    </row>
    <row r="3">
      <c r="A3" t="inlineStr"/>
    </row>
    <row r="4">
      <c r="A4" s="25" t="inlineStr">
        <is>
          <t>WHAT THIS IS</t>
        </is>
      </c>
    </row>
    <row r="5">
      <c r="A5" t="inlineStr">
        <is>
          <t xml:space="preserve">  A self-contained, reusable template. One workbook pulls aggregate consumer</t>
        </is>
      </c>
    </row>
    <row r="6">
      <c r="A6" t="inlineStr">
        <is>
          <t xml:space="preserve">  credit-risk metrics from a credit-bureau-sourced public feed (the NY Fed</t>
        </is>
      </c>
    </row>
    <row r="7">
      <c r="A7" t="inlineStr">
        <is>
          <t xml:space="preserve">  Household Debt &amp; Credit report, built on an anonymized 5% Equifax sample),</t>
        </is>
      </c>
    </row>
    <row r="8">
      <c r="A8" t="inlineStr">
        <is>
          <t xml:space="preserve">  lands them raw, and presents them as formula-driven dashboards. A gated</t>
        </is>
      </c>
    </row>
    <row r="9">
      <c r="A9" t="inlineStr">
        <is>
          <t xml:space="preserve">  "watchlist" lane is reserved for a future licensed (Class C) MSA / account</t>
        </is>
      </c>
    </row>
    <row r="10">
      <c r="A10" t="inlineStr">
        <is>
          <t xml:space="preserve">  feed and is refused under the public stand-in by design. All code, config and</t>
        </is>
      </c>
    </row>
    <row r="11">
      <c r="A11" t="inlineStr">
        <is>
          <t xml:space="preserve">  docs live inside this workbook, so it can be emailed, opened elsewhere, and</t>
        </is>
      </c>
    </row>
    <row r="12">
      <c r="A12" t="inlineStr">
        <is>
          <t xml:space="preserve">  re-run.</t>
        </is>
      </c>
    </row>
    <row r="13">
      <c r="A13" t="inlineStr"/>
    </row>
    <row r="14">
      <c r="A14" t="inlineStr">
        <is>
          <t>PROVIDERS (the adapter seam -- one provider per class)</t>
        </is>
      </c>
    </row>
    <row r="15">
      <c r="A15" t="inlineStr">
        <is>
          <t xml:space="preserve">  Class A (free, no contract):</t>
        </is>
      </c>
    </row>
    <row r="16">
      <c r="A16" t="inlineStr">
        <is>
          <t xml:space="preserve">    - HhdcProvider     -- LIVE download of the NY Fed HHDC public tables.</t>
        </is>
      </c>
    </row>
    <row r="17">
      <c r="A17" t="inlineStr">
        <is>
          <t xml:space="preserve">    - HhdcDemoProvider -- deterministic OFFLINE stand-in (no network/key); used</t>
        </is>
      </c>
    </row>
    <row r="18">
      <c r="A18" t="inlineStr">
        <is>
          <t xml:space="preserve">                          by every test and the --demo button.</t>
        </is>
      </c>
    </row>
    <row r="19">
      <c r="A19" t="inlineStr">
        <is>
          <t xml:space="preserve">  Class C (licensed, v2 swap only): a module swap behind the same seam. v1 ships</t>
        </is>
      </c>
    </row>
    <row r="20">
      <c r="A20" t="inlineStr">
        <is>
          <t xml:space="preserve">  only an in-process OAuth client_credentials STUB; no live licensed call is made.</t>
        </is>
      </c>
    </row>
    <row r="21">
      <c r="A21" t="inlineStr"/>
    </row>
    <row r="22">
      <c r="A22" s="25" t="inlineStr">
        <is>
          <t>ONE-TIME SETUP</t>
        </is>
      </c>
    </row>
    <row r="23">
      <c r="A23" t="inlineStr">
        <is>
          <t xml:space="preserve">  1. Install Python 3 (add it to PATH) and the dependencies:</t>
        </is>
      </c>
    </row>
    <row r="24">
      <c r="A24" t="inlineStr">
        <is>
          <t xml:space="preserve">         pip install openpyxl pandas</t>
        </is>
      </c>
    </row>
    <row r="25">
      <c r="A25" t="inlineStr">
        <is>
          <t xml:space="preserve">  2. Enable macros when prompted (the Extract button needs them).</t>
        </is>
      </c>
    </row>
    <row r="26">
      <c r="A26" t="inlineStr"/>
    </row>
    <row r="27">
      <c r="A27" t="inlineStr">
        <is>
          <t>RUN IT  (the workbook is the finished product; you only add data)</t>
        </is>
      </c>
    </row>
    <row r="28">
      <c r="A28" t="inlineStr">
        <is>
          <t xml:space="preserve">  1. In Excel press Alt+F8 -&gt; run ExtractFiles. It writes three files next to the</t>
        </is>
      </c>
    </row>
    <row r="29">
      <c r="A29" t="inlineStr">
        <is>
          <t xml:space="preserve">     workbook: runner.py (from _code_py), requirements.txt, and RUN.txt (the</t>
        </is>
      </c>
    </row>
    <row r="30">
      <c r="A30" t="inlineStr">
        <is>
          <t xml:space="preserve">     exact PowerShell commands). NOTHING runs inside Excel.</t>
        </is>
      </c>
    </row>
    <row r="31">
      <c r="A31" t="inlineStr">
        <is>
          <t xml:space="preserve">  2. SAVE and CLOSE the workbook.</t>
        </is>
      </c>
    </row>
    <row r="32">
      <c r="A32" t="inlineStr">
        <is>
          <t xml:space="preserve">  3. Open RUN.txt and follow it from PowerShell: install deps, then run</t>
        </is>
      </c>
    </row>
    <row r="33">
      <c r="A33" t="inlineStr">
        <is>
          <t xml:space="preserve">     runner.py against the CLOSED workbook. It writes the data into the file.</t>
        </is>
      </c>
    </row>
    <row r="34">
      <c r="A34" t="inlineStr">
        <is>
          <t xml:space="preserve">       - Try-the-button (offline): runner.py -w &lt;book&gt;.xlsm --demo</t>
        </is>
      </c>
    </row>
    <row r="35">
      <c r="A35" t="inlineStr">
        <is>
          <t xml:space="preserve">       - Live HHDC: runner.py -w &lt;book&gt;.xlsm   (downloads the public tables)</t>
        </is>
      </c>
    </row>
    <row r="36">
      <c r="A36" t="inlineStr">
        <is>
          <t xml:space="preserve">  4. Reopen the workbook -- the formulas recalc into the populated dashboards.</t>
        </is>
      </c>
    </row>
    <row r="37">
      <c r="A37" t="inlineStr">
        <is>
          <t xml:space="preserve">  Optional: Alt+F8 -&gt; PaintSparklines draws the Trend column.</t>
        </is>
      </c>
    </row>
    <row r="38">
      <c r="A38" t="inlineStr"/>
    </row>
    <row r="39">
      <c r="A39" s="25" t="inlineStr">
        <is>
          <t>THE TABS</t>
        </is>
      </c>
    </row>
    <row r="40">
      <c r="A40" t="inlineStr">
        <is>
          <t xml:space="preserve">  Dashboard_Balances / _Delinquency / _Originations -- formula panels: latest,</t>
        </is>
      </c>
    </row>
    <row r="41">
      <c r="A41" t="inlineStr">
        <is>
          <t xml:space="preserve">      prior, a named-transform headline (YoY% for balances/originations; the</t>
        </is>
      </c>
    </row>
    <row r="42">
      <c r="A42" t="inlineStr">
        <is>
          <t xml:space="preserve">      level for delinquency rates/flows), an optional trend sparkline, and a</t>
        </is>
      </c>
    </row>
    <row r="43">
      <c r="A43" t="inlineStr">
        <is>
          <t xml:space="preserve">      config-driven OK/WATCH/ALERT status. Heat shading marks stress.</t>
        </is>
      </c>
    </row>
    <row r="44">
      <c r="A44" t="inlineStr">
        <is>
          <t xml:space="preserve">  Watchlist -- the GATED lane. Shows the series-named refusal and the licensed-</t>
        </is>
      </c>
    </row>
    <row r="45">
      <c r="A45" t="inlineStr">
        <is>
          <t xml:space="preserve">      feed requirement, not data, under the public stand-in.</t>
        </is>
      </c>
    </row>
    <row r="46">
      <c r="A46" t="inlineStr">
        <is>
          <t xml:space="preserve">  Raw_HHDC -- raw observations, newest-first (the audit trail).</t>
        </is>
      </c>
    </row>
    <row r="47">
      <c r="A47" t="inlineStr">
        <is>
          <t xml:space="preserve">  _config  -- THE KNOB PANEL: series dictionary + thresholds (source of truth).</t>
        </is>
      </c>
    </row>
    <row r="48">
      <c r="A48" t="inlineStr">
        <is>
          <t xml:space="preserve">  _code_py / _code_vba -- the runner and macro as plain text.</t>
        </is>
      </c>
    </row>
    <row r="49">
      <c r="A49" t="inlineStr"/>
    </row>
    <row r="50">
      <c r="A50" t="inlineStr">
        <is>
          <t>THE WATCHLIST BOUNDARY (default-deny, defense in depth)</t>
        </is>
      </c>
    </row>
    <row r="51">
      <c r="A51" t="inlineStr">
        <is>
          <t xml:space="preserve">  A row only feeds the watchlist if ALL THREE hold: watchlist_capable=TRUE AND</t>
        </is>
      </c>
    </row>
    <row r="52">
      <c r="A52" t="inlineStr">
        <is>
          <t xml:space="preserve">  source_class="C" (licensed) AND geo_segment in {msa, account}. Every public</t>
        </is>
      </c>
    </row>
    <row r="53">
      <c r="A53" t="inlineStr">
        <is>
          <t xml:space="preserve">  stand-in series is Class A / national / aggregate, so the lane is refused --</t>
        </is>
      </c>
    </row>
    <row r="54">
      <c r="A54" t="inlineStr">
        <is>
          <t xml:space="preserve">  and stays refused even if someone flips a single capability flag, because the</t>
        </is>
      </c>
    </row>
    <row r="55">
      <c r="A55" t="inlineStr">
        <is>
          <t xml:space="preserve">  source_class="A" gate still catches it. No public/national/annual-aggregate</t>
        </is>
      </c>
    </row>
    <row r="56">
      <c r="A56" t="inlineStr">
        <is>
          <t xml:space="preserve">  series can ever localize a portfolio subset.</t>
        </is>
      </c>
    </row>
    <row r="57">
      <c r="A57" t="inlineStr"/>
    </row>
    <row r="58">
      <c r="A58" s="25" t="inlineStr">
        <is>
          <t>SCORE-SCALE HONESTY</t>
        </is>
      </c>
    </row>
    <row r="59">
      <c r="A59" t="inlineStr">
        <is>
          <t xml:space="preserve">  Risk scores differ by scale and are never cross-compared without explicit</t>
        </is>
      </c>
    </row>
    <row r="60">
      <c r="A60" t="inlineStr">
        <is>
          <t xml:space="preserve">  normalization: Equifax Risk Score 280-850 (prime &gt;= 660); VantageScore and</t>
        </is>
      </c>
    </row>
    <row r="61">
      <c r="A61" t="inlineStr">
        <is>
          <t xml:space="preserve">  FICO use different ranges. v1 records the scale and refuses silent cross-scale</t>
        </is>
      </c>
    </row>
    <row r="62">
      <c r="A62" t="inlineStr">
        <is>
          <t xml:space="preserve">  comparison; it does not invent a crosswalk.</t>
        </is>
      </c>
    </row>
    <row r="63">
      <c r="A63" t="inlineStr"/>
    </row>
    <row r="64">
      <c r="A64" t="inlineStr">
        <is>
          <t>COMPLIANCE (design intent; see Open Questions -- several items UNKNOWN)</t>
        </is>
      </c>
    </row>
    <row r="65">
      <c r="A65" t="inlineStr">
        <is>
          <t xml:space="preserve">  - Public HHDC is an anonymized 5% sample (NOT a census), aggregate-only and</t>
        </is>
      </c>
    </row>
    <row r="66">
      <c r="A66" t="inlineStr">
        <is>
          <t xml:space="preserve">    NOT account-joinable; microdata is restricted to Fed researchers.</t>
        </is>
      </c>
    </row>
    <row r="67">
      <c r="A67" t="inlineStr">
        <is>
          <t xml:space="preserve">  - Secrets (licensed Class C) come from an env var named in _config (secret_env)</t>
        </is>
      </c>
    </row>
    <row r="68">
      <c r="A68" t="inlineStr">
        <is>
          <t xml:space="preserve">    ONLY -- never hardcoded, never written to disk by the bootstrap, never echoed.</t>
        </is>
      </c>
    </row>
    <row r="69">
      <c r="A69" t="inlineStr">
        <is>
          <t xml:space="preserve">    Absent env var -&gt; the run fails fast.</t>
        </is>
      </c>
    </row>
    <row r="70">
      <c r="A70" t="inlineStr">
        <is>
          <t xml:space="preserve">  - FCRA permissible purpose ("account review") is tied specifically to the</t>
        </is>
      </c>
    </row>
    <row r="71">
      <c r="A71" t="inlineStr">
        <is>
          <t xml:space="preserve">    account-level licensed products; whether/how it applies to aggregate feeds is</t>
        </is>
      </c>
    </row>
    <row r="72">
      <c r="A72" t="inlineStr">
        <is>
          <t xml:space="preserve">    UNKNOWN and must be confirmed at contract time. Redistribution terms for any</t>
        </is>
      </c>
    </row>
    <row r="73">
      <c r="A73" t="inlineStr">
        <is>
          <t xml:space="preserve">    licensed feed are UNKNOWN at spec time. v1 touches no licensed data.</t>
        </is>
      </c>
    </row>
    <row r="74">
      <c r="A74" t="inlineStr"/>
    </row>
    <row r="75">
      <c r="A75" t="inlineStr">
        <is>
          <t>DATA-QUALITY TRAPS (baked into the adapter / notes)</t>
        </is>
      </c>
    </row>
    <row r="76">
      <c r="A76" t="inlineStr">
        <is>
          <t xml:space="preserve">  - 5% anonymized sample, not a census -- sampling noise grows at finer cuts.</t>
        </is>
      </c>
    </row>
    <row r="77">
      <c r="A77" t="inlineStr">
        <is>
          <t xml:space="preserve">  - One-quarter origination lag is standard.</t>
        </is>
      </c>
    </row>
    <row r="78">
      <c r="A78" t="inlineStr">
        <is>
          <t xml:space="preserve">  - State data is ANNUAL Q4 only; quarterly all-state granularity is withheld by</t>
        </is>
      </c>
    </row>
    <row r="79">
      <c r="A79" t="inlineStr">
        <is>
          <t xml:space="preserve">    Equifax contract -- so state data is NOT a usable watchlist geo key.</t>
        </is>
      </c>
    </row>
    <row r="80">
      <c r="A80" t="inlineStr">
        <is>
          <t xml:space="preserve">  - Vendor reference figures are point-in-time and change each release.</t>
        </is>
      </c>
    </row>
    <row r="81">
      <c r="A81" t="inlineStr"/>
    </row>
    <row r="82">
      <c r="A82" t="inlineStr">
        <is>
          <t>NO AI IS INVOLVED IN THE DATA PATH. Transforms, thresholds and the watchlist</t>
        </is>
      </c>
    </row>
    <row r="83">
      <c r="A83" t="inlineStr">
        <is>
          <t>gate are deterministic and config-driven: the same input always yields the same</t>
        </is>
      </c>
    </row>
    <row r="84">
      <c r="A84" t="inlineStr">
        <is>
          <t>workbook.</t>
        </is>
      </c>
    </row>
    <row r="85">
      <c r="A85" t="inlineStr"/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2026-07-02T12:21:11Z</dcterms:created>
  <dcterms:modified xsi:type="dcterms:W3CDTF">2026-07-02T12:21:11Z</dcterms:modified>
</cp:coreProperties>
</file>